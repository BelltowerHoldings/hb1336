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875" tabRatio="500" firstSheet="0" activeTab="1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Sensitivity" sheetId="2" state="visible" r:id="rId2"/>
    <sheet xmlns:r="http://schemas.openxmlformats.org/officeDocument/2006/relationships" name="Notes &amp; Method" sheetId="3" state="visible" r:id="rId3"/>
  </sheets>
  <definedNames>
    <definedName name="_xlnm.Print_Area" localSheetId="0">'Model'!$B$1:$T$60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\$#,##0"/>
    <numFmt numFmtId="165" formatCode="0.0%"/>
    <numFmt numFmtId="166" formatCode="\+#,##0;\-#,##0;0"/>
    <numFmt numFmtId="167" formatCode="0&quot; yr&quot;"/>
    <numFmt numFmtId="168" formatCode="+#,##0;-#,##0;0"/>
    <numFmt numFmtId="169" formatCode="+0%;-0%;0%"/>
  </numFmts>
  <fonts count="18">
    <font>
      <name val="Calibri"/>
      <charset val="1"/>
      <family val="2"/>
      <color theme="1"/>
      <sz val="11"/>
    </font>
    <font>
      <name val="Calibri"/>
      <sz val="11"/>
    </font>
    <font>
      <name val="Calibri"/>
      <b val="1"/>
      <sz val="12"/>
    </font>
    <font>
      <name val="Calibri"/>
      <i val="1"/>
      <color rgb="FF555555"/>
      <sz val="11"/>
    </font>
    <font>
      <name val="Calibri"/>
      <b val="1"/>
      <color rgb="FFFFFFFF"/>
      <sz val="11"/>
    </font>
    <font>
      <name val="Calibri"/>
      <color rgb="FF0000FF"/>
      <sz val="11"/>
    </font>
    <font>
      <name val="Calibri"/>
      <color rgb="FF000000"/>
      <sz val="11"/>
    </font>
    <font>
      <name val="Calibri"/>
      <b val="1"/>
      <sz val="11"/>
    </font>
    <font>
      <name val="Calibri"/>
      <b val="1"/>
      <color rgb="FF000000"/>
      <sz val="11"/>
    </font>
    <font>
      <name val="Calibri"/>
      <b val="1"/>
      <color rgb="FF1F4E79"/>
      <sz val="11"/>
    </font>
    <font>
      <name val="Calibri"/>
      <i val="1"/>
      <sz val="11"/>
    </font>
    <font/>
    <font>
      <b val="1"/>
      <sz val="12"/>
    </font>
    <font>
      <i val="1"/>
      <color rgb="FF555555"/>
    </font>
    <font>
      <b val="1"/>
    </font>
    <font>
      <b val="1"/>
      <color rgb="FF1F4E79"/>
    </font>
    <font>
      <color rgb="FF0000FF"/>
    </font>
    <font>
      <i val="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/>
      <diagonal/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wrapText="1"/>
    </xf>
    <xf numFmtId="0" fontId="1" fillId="0" borderId="1" pivotButton="0" quotePrefix="0" xfId="0"/>
    <xf numFmtId="0" fontId="9" fillId="4" borderId="2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3" fontId="6" fillId="0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9" fillId="4" borderId="0" applyAlignment="1" pivotButton="0" quotePrefix="0" xfId="0">
      <alignment horizontal="left" vertical="center" wrapText="1"/>
    </xf>
    <xf numFmtId="165" fontId="7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3" fontId="1" fillId="0" borderId="0" applyAlignment="1" pivotButton="0" quotePrefix="0" xfId="0">
      <alignment horizontal="right"/>
    </xf>
    <xf numFmtId="3" fontId="7" fillId="0" borderId="0" applyAlignment="1" pivotButton="0" quotePrefix="0" xfId="0">
      <alignment horizontal="right"/>
    </xf>
    <xf numFmtId="0" fontId="7" fillId="0" borderId="0" pivotButton="0" quotePrefix="0" xfId="0"/>
    <xf numFmtId="165" fontId="5" fillId="0" borderId="1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3" fontId="1" fillId="0" borderId="1" applyAlignment="1" pivotButton="0" quotePrefix="0" xfId="0">
      <alignment horizontal="right"/>
    </xf>
    <xf numFmtId="165" fontId="5" fillId="0" borderId="0" applyAlignment="1" pivotButton="0" quotePrefix="0" xfId="0">
      <alignment horizontal="right"/>
    </xf>
    <xf numFmtId="166" fontId="1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4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164" fontId="5" fillId="0" borderId="0" applyAlignment="1" pivotButton="0" quotePrefix="0" xfId="0">
      <alignment horizontal="right" vertical="center" wrapText="1"/>
    </xf>
    <xf numFmtId="165" fontId="5" fillId="0" borderId="0" applyAlignment="1" pivotButton="0" quotePrefix="0" xfId="0">
      <alignment horizontal="right" vertical="center" wrapText="1"/>
    </xf>
    <xf numFmtId="164" fontId="6" fillId="0" borderId="0" applyAlignment="1" pivotButton="0" quotePrefix="0" xfId="0">
      <alignment horizontal="right" vertical="center" wrapText="1"/>
    </xf>
    <xf numFmtId="4" fontId="5" fillId="0" borderId="0" applyAlignment="1" pivotButton="0" quotePrefix="0" xfId="0">
      <alignment horizontal="right" vertical="center" wrapText="1"/>
    </xf>
    <xf numFmtId="3" fontId="5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4" fontId="6" fillId="0" borderId="0" applyAlignment="1" pivotButton="0" quotePrefix="0" xfId="0">
      <alignment horizontal="right" vertical="center" wrapText="1"/>
    </xf>
    <xf numFmtId="10" fontId="6" fillId="0" borderId="0" applyAlignment="1" pivotButton="0" quotePrefix="0" xfId="0">
      <alignment horizontal="right" vertical="center" wrapText="1"/>
    </xf>
    <xf numFmtId="165" fontId="8" fillId="3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wrapText="1"/>
    </xf>
    <xf numFmtId="165" fontId="5" fillId="0" borderId="1" applyAlignment="1" pivotButton="0" quotePrefix="0" xfId="0">
      <alignment horizontal="right" vertical="center" wrapText="1"/>
    </xf>
    <xf numFmtId="165" fontId="7" fillId="0" borderId="1" applyAlignment="1" pivotButton="0" quotePrefix="0" xfId="0">
      <alignment horizontal="right" vertical="center" wrapText="1"/>
    </xf>
    <xf numFmtId="0" fontId="0" fillId="0" borderId="3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3" fontId="6" fillId="0" borderId="0" applyAlignment="1" pivotButton="0" quotePrefix="0" xfId="0">
      <alignment horizontal="right" vertical="center" wrapText="1"/>
    </xf>
    <xf numFmtId="4" fontId="7" fillId="3" borderId="0" applyAlignment="1" pivotButton="0" quotePrefix="0" xfId="0">
      <alignment horizontal="right" vertical="center" wrapText="1"/>
    </xf>
    <xf numFmtId="0" fontId="0" fillId="0" borderId="3" pivotButton="0" quotePrefix="0" xfId="0"/>
    <xf numFmtId="0" fontId="0" fillId="0" borderId="2" pivotButton="0" quotePrefix="0" xfId="0"/>
    <xf numFmtId="0" fontId="12" fillId="0" borderId="0" applyAlignment="1" pivotButton="0" quotePrefix="0" xfId="0">
      <alignment horizontal="left" vertical="center" wrapText="1"/>
    </xf>
    <xf numFmtId="0" fontId="11" fillId="0" borderId="0" pivotButton="0" quotePrefix="0" xfId="0"/>
    <xf numFmtId="0" fontId="13" fillId="0" borderId="0" applyAlignment="1" pivotButton="0" quotePrefix="0" xfId="0">
      <alignment horizontal="left" vertical="center" wrapText="1"/>
    </xf>
    <xf numFmtId="0" fontId="14" fillId="0" borderId="0" pivotButton="0" quotePrefix="0" xfId="0"/>
    <xf numFmtId="3" fontId="14" fillId="3" borderId="0" applyAlignment="1" pivotButton="0" quotePrefix="0" xfId="0">
      <alignment horizontal="right"/>
    </xf>
    <xf numFmtId="0" fontId="15" fillId="4" borderId="2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center" vertical="center" wrapText="1"/>
    </xf>
    <xf numFmtId="167" fontId="14" fillId="0" borderId="1" applyAlignment="1" pivotButton="0" quotePrefix="0" xfId="0">
      <alignment horizontal="center" vertical="center" wrapText="1"/>
    </xf>
    <xf numFmtId="165" fontId="16" fillId="0" borderId="1" applyAlignment="1" pivotButton="0" quotePrefix="0" xfId="0">
      <alignment horizontal="right"/>
    </xf>
    <xf numFmtId="4" fontId="11" fillId="0" borderId="1" applyAlignment="1" pivotButton="0" quotePrefix="0" xfId="0">
      <alignment horizontal="right"/>
    </xf>
    <xf numFmtId="165" fontId="16" fillId="0" borderId="0" applyAlignment="1" pivotButton="0" quotePrefix="0" xfId="0">
      <alignment horizontal="right"/>
    </xf>
    <xf numFmtId="4" fontId="11" fillId="0" borderId="0" applyAlignment="1" pivotButton="0" quotePrefix="0" xfId="0">
      <alignment horizontal="right"/>
    </xf>
    <xf numFmtId="3" fontId="11" fillId="0" borderId="1" applyAlignment="1" pivotButton="0" quotePrefix="0" xfId="0">
      <alignment horizontal="right"/>
    </xf>
    <xf numFmtId="3" fontId="11" fillId="0" borderId="0" applyAlignment="1" pivotButton="0" quotePrefix="0" xfId="0">
      <alignment horizontal="right"/>
    </xf>
    <xf numFmtId="0" fontId="15" fillId="4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center" vertical="center" wrapText="1"/>
    </xf>
    <xf numFmtId="165" fontId="14" fillId="0" borderId="0" applyAlignment="1" pivotButton="0" quotePrefix="0" xfId="0">
      <alignment horizontal="center" vertical="center" wrapText="1"/>
    </xf>
    <xf numFmtId="0" fontId="14" fillId="4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3" fontId="14" fillId="0" borderId="0" applyAlignment="1" pivotButton="0" quotePrefix="0" xfId="0">
      <alignment horizontal="right"/>
    </xf>
    <xf numFmtId="0" fontId="13" fillId="0" borderId="0" pivotButton="0" quotePrefix="0" xfId="0"/>
    <xf numFmtId="0" fontId="11" fillId="0" borderId="0" applyAlignment="1" pivotButton="0" quotePrefix="0" xfId="0">
      <alignment horizontal="center" vertical="center" wrapText="1"/>
    </xf>
    <xf numFmtId="168" fontId="11" fillId="0" borderId="0" applyAlignment="1" pivotButton="0" quotePrefix="0" xfId="0">
      <alignment horizontal="right"/>
    </xf>
    <xf numFmtId="169" fontId="11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2F2F2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>Cumulative households served: HB 1336 (recycled) vs. do nothing (grant)</a:t>
            </a:r>
          </a:p>
        </rich>
      </tx>
    </title>
    <plotArea>
      <lineChart>
        <grouping val="standard"/>
        <ser>
          <idx val="0"/>
          <order val="0"/>
          <tx>
            <strRef>
              <f>'Model'!E42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'Model'!$B$43:$B$52</f>
            </numRef>
          </cat>
          <val>
            <numRef>
              <f>'Model'!$E$43:$E$52</f>
            </numRef>
          </val>
        </ser>
        <ser>
          <idx val="1"/>
          <order val="1"/>
          <tx>
            <strRef>
              <f>'Model'!H42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'Model'!$B$43:$B$52</f>
            </numRef>
          </cat>
          <val>
            <numRef>
              <f>'Model'!$H$43:$H$52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households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H52"/>
  <sheetViews>
    <sheetView showGridLines="0" topLeftCell="A32" zoomScale="85" zoomScaleNormal="85" workbookViewId="0">
      <selection activeCell="B1" sqref="B1:D20"/>
    </sheetView>
  </sheetViews>
  <sheetFormatPr baseColWidth="8" defaultColWidth="8.6640625" defaultRowHeight="14.25"/>
  <cols>
    <col width="8.6640625" customWidth="1" style="33" min="1" max="1"/>
    <col width="50.33203125" bestFit="1" customWidth="1" style="33" min="2" max="2"/>
    <col width="14.265625" bestFit="1" customWidth="1" style="33" min="3" max="3"/>
    <col width="41.9296875" bestFit="1" customWidth="1" style="33" min="4" max="4"/>
    <col width="16" customWidth="1" style="29" min="5" max="8"/>
  </cols>
  <sheetData>
    <row r="1" ht="31.5" customHeight="1" s="29">
      <c r="B1" s="34" t="inlineStr">
        <is>
          <t>HB 1336 — Third-Party Deposit-Assistance Capital Model (v2)</t>
        </is>
      </c>
      <c r="C1" s="35" t="n"/>
      <c r="D1" s="35" t="n"/>
      <c r="E1" s="2" t="n"/>
      <c r="F1" s="2" t="n"/>
      <c r="G1" s="2" t="n"/>
      <c r="H1" s="2" t="n"/>
    </row>
    <row r="2" ht="85.5" customHeight="1" s="29">
      <c r="B2" s="28" t="inlineStr">
        <is>
          <t>Incremental impact of HB 1336 on private charitable deposit-assistance capital. Baseline = do nothing (charity funds standard deposits as one-way grants; RCDs do not exist). Policy = HB 1336 passes (charity funds deposit + RCD where needed, both refundable to the third-party payor and recycled).</t>
        </is>
      </c>
    </row>
    <row r="3">
      <c r="B3" s="35" t="n"/>
      <c r="C3" s="35" t="n"/>
      <c r="D3" s="35" t="n"/>
      <c r="E3" s="2" t="n"/>
      <c r="F3" s="2" t="n"/>
      <c r="G3" s="2" t="n"/>
      <c r="H3" s="2" t="n"/>
    </row>
    <row r="4">
      <c r="B4" s="4" t="inlineStr">
        <is>
          <t>INPUTS — Funding &amp; deployment   (edit blue cells)</t>
        </is>
      </c>
      <c r="E4" s="2" t="n"/>
      <c r="F4" s="2" t="n"/>
      <c r="G4" s="2" t="n"/>
      <c r="H4" s="2" t="n"/>
    </row>
    <row r="5">
      <c r="B5" s="5" t="inlineStr">
        <is>
          <t>Annual charitable inflow (gross)</t>
        </is>
      </c>
      <c r="C5" s="36" t="n">
        <v>1000000</v>
      </c>
      <c r="D5" s="28" t="inlineStr">
        <is>
          <t>Donations raised per year before overhead</t>
        </is>
      </c>
      <c r="E5" s="2" t="n"/>
      <c r="F5" s="2" t="n"/>
      <c r="G5" s="2" t="n"/>
      <c r="H5" s="2" t="n"/>
    </row>
    <row r="6">
      <c r="B6" s="5" t="inlineStr">
        <is>
          <t>Overhead / admin rate</t>
        </is>
      </c>
      <c r="C6" s="37" t="n">
        <v>0.3</v>
      </c>
      <c r="D6" s="28" t="inlineStr">
        <is>
          <t>Share of gross consumed by fundraising &amp; administration</t>
        </is>
      </c>
      <c r="E6" s="2" t="n"/>
      <c r="F6" s="2" t="n"/>
      <c r="G6" s="2" t="n"/>
      <c r="H6" s="2" t="n"/>
    </row>
    <row r="7">
      <c r="B7" s="5" t="inlineStr">
        <is>
          <t>Net new capital per year</t>
        </is>
      </c>
      <c r="C7" s="38">
        <f>C5*(1-C6)</f>
        <v/>
      </c>
      <c r="D7" s="28" t="inlineStr">
        <is>
          <t>inflow × (1 − overhead)</t>
        </is>
      </c>
      <c r="E7" s="2" t="n"/>
      <c r="F7" s="2" t="n"/>
      <c r="G7" s="2" t="n"/>
      <c r="H7" s="2" t="n"/>
    </row>
    <row r="8">
      <c r="B8" s="5" t="inlineStr">
        <is>
          <t>Average security deposit (≈ 1 month rent)</t>
        </is>
      </c>
      <c r="C8" s="36" t="n">
        <v>2000</v>
      </c>
      <c r="D8" s="28" t="inlineStr">
        <is>
          <t>Capped at 1 month rent under RSA 540-A:6 (existing law)</t>
        </is>
      </c>
      <c r="E8" s="2" t="n"/>
      <c r="F8" s="2" t="n"/>
      <c r="G8" s="2" t="n"/>
      <c r="H8" s="2" t="n"/>
    </row>
    <row r="9">
      <c r="B9" s="5" t="inlineStr">
        <is>
          <t>RCD size as multiple of standard deposit</t>
        </is>
      </c>
      <c r="C9" s="39" t="n">
        <v>1</v>
      </c>
      <c r="D9" s="28" t="inlineStr">
        <is>
          <t>HB 1336 caps RCD at one ADDITIONAL month of rent → 1.0×</t>
        </is>
      </c>
      <c r="E9" s="2" t="n"/>
      <c r="F9" s="2" t="n"/>
      <c r="G9" s="2" t="n"/>
      <c r="H9" s="2" t="n"/>
    </row>
    <row r="10" ht="28.5" customHeight="1" s="29">
      <c r="B10" s="5" t="inlineStr">
        <is>
          <t>% of assisted households requiring BOTH deposit + RCD</t>
        </is>
      </c>
      <c r="C10" s="37" t="n">
        <v>0.3</v>
      </c>
      <c r="D10" s="28" t="inlineStr">
        <is>
          <t>Many applicants need only deposit help; subset also fails one of the 5 statutory criteria</t>
        </is>
      </c>
      <c r="E10" s="2" t="n"/>
      <c r="F10" s="2" t="n"/>
      <c r="G10" s="2" t="n"/>
      <c r="H10" s="2" t="n"/>
    </row>
    <row r="11">
      <c r="B11" s="5" t="inlineStr">
        <is>
          <t>Average capital deployed per assisted household</t>
        </is>
      </c>
      <c r="C11" s="38">
        <f>C8*(1+C10*C9)</f>
        <v/>
      </c>
      <c r="D11" s="28" t="inlineStr">
        <is>
          <t>deposit × (1 + bundle% × RCD multiple)</t>
        </is>
      </c>
      <c r="E11" s="2" t="n"/>
      <c r="F11" s="2" t="n"/>
      <c r="G11" s="2" t="n"/>
      <c r="H11" s="2" t="n"/>
    </row>
    <row r="12">
      <c r="B12" s="5" t="inlineStr">
        <is>
          <t>Average tenancy before refund (yrs)  [L]</t>
        </is>
      </c>
      <c r="C12" s="40" t="n">
        <v>3</v>
      </c>
      <c r="D12" s="28" t="inlineStr">
        <is>
          <t>Whole years 1–5; longer L = slower recycling (more conservative)</t>
        </is>
      </c>
      <c r="E12" s="2" t="n"/>
      <c r="F12" s="2" t="n"/>
      <c r="G12" s="2" t="n"/>
      <c r="H12" s="2" t="n"/>
    </row>
    <row r="13">
      <c r="B13" s="5" t="inlineStr">
        <is>
          <t>Apply overhead to recycled capital?</t>
        </is>
      </c>
      <c r="C13" s="41" t="inlineStr">
        <is>
          <t>No</t>
        </is>
      </c>
      <c r="D13" s="28" t="inlineStr">
        <is>
          <t>No = recycled dollars need no re-fundraising</t>
        </is>
      </c>
      <c r="E13" s="2" t="n"/>
      <c r="F13" s="2" t="n"/>
      <c r="G13" s="2" t="n"/>
      <c r="H13" s="2" t="n"/>
    </row>
    <row r="14">
      <c r="B14" s="5" t="inlineStr">
        <is>
          <t>Recycle factor</t>
        </is>
      </c>
      <c r="C14" s="42">
        <f>IF(C13="Yes",1-C6,1)</f>
        <v/>
      </c>
      <c r="D14" s="28" t="inlineStr">
        <is>
          <t>Multiplier applied to returning capital</t>
        </is>
      </c>
      <c r="E14" s="2" t="n"/>
      <c r="F14" s="2" t="n"/>
      <c r="G14" s="2" t="n"/>
      <c r="H14" s="2" t="n"/>
    </row>
    <row r="15">
      <c r="B15" s="35" t="n"/>
      <c r="C15" s="35" t="n"/>
      <c r="D15" s="35" t="n"/>
      <c r="E15" s="2" t="n"/>
      <c r="F15" s="2" t="n"/>
      <c r="G15" s="2" t="n"/>
      <c r="H15" s="2" t="n"/>
    </row>
    <row r="16" ht="28.5" customHeight="1" s="29">
      <c r="B16" s="4" t="inlineStr">
        <is>
          <t>RECOVERY RATE  —  anchored to TransUnion ResidentScore tiers</t>
        </is>
      </c>
      <c r="E16" s="2" t="n"/>
      <c r="F16" s="2" t="n"/>
      <c r="G16" s="2" t="n"/>
      <c r="H16" s="2" t="n"/>
    </row>
    <row r="17" ht="28.5" customHeight="1" s="29">
      <c r="B17" s="5" t="inlineStr">
        <is>
          <t>Recovery method  ("Tier-weighted" or "Manual override")</t>
        </is>
      </c>
      <c r="C17" s="41" t="inlineStr">
        <is>
          <t>Tier-weighted</t>
        </is>
      </c>
      <c r="D17" s="28" t="inlineStr">
        <is>
          <t>Type "Manual override" in B17 to use the flat r below instead of the tier-weighted calc</t>
        </is>
      </c>
      <c r="E17" s="2" t="n"/>
      <c r="F17" s="2" t="n"/>
      <c r="G17" s="2" t="n"/>
      <c r="H17" s="2" t="n"/>
    </row>
    <row r="18" ht="28.5" customHeight="1" s="29">
      <c r="B18" s="5" t="inlineStr">
        <is>
          <t>Manual override recovery rate r  (used only if Manual override)</t>
        </is>
      </c>
      <c r="C18" s="37" t="n">
        <v>0.7</v>
      </c>
      <c r="D18" s="28" t="inlineStr">
        <is>
          <t>Falls back to the original v1 default of 70% for very-conservative scenarios</t>
        </is>
      </c>
      <c r="E18" s="2" t="n"/>
      <c r="F18" s="2" t="n"/>
      <c r="G18" s="2" t="n"/>
      <c r="H18" s="2" t="n"/>
    </row>
    <row r="19" ht="28.5" customHeight="1" s="29">
      <c r="B19" s="5" t="inlineStr">
        <is>
          <t>Loss-given-eviction (share of held deposit + RCD consumed when eviction occurs)</t>
        </is>
      </c>
      <c r="C19" s="37" t="n">
        <v>1</v>
      </c>
      <c r="D19" s="28" t="inlineStr">
        <is>
          <t>100% = full impound when an eviction is filed and reduced to judgment</t>
        </is>
      </c>
      <c r="E19" s="2" t="n"/>
      <c r="F19" s="2" t="n"/>
      <c r="G19" s="2" t="n"/>
      <c r="H19" s="2" t="n"/>
    </row>
    <row r="20" ht="28.5" customHeight="1" s="29">
      <c r="B20" s="5" t="inlineStr">
        <is>
          <t>Base non-recovery (lawful deductions absent eviction — wear, cleaning, damages)</t>
        </is>
      </c>
      <c r="C20" s="37" t="n">
        <v>0.15</v>
      </c>
      <c r="D20" s="28" t="inlineStr">
        <is>
          <t>Average across non-evicted tenancies; 5–15% is a defensible range</t>
        </is>
      </c>
      <c r="E20" s="2" t="n"/>
      <c r="F20" s="2" t="n"/>
      <c r="G20" s="2" t="n"/>
      <c r="H20" s="2" t="n"/>
    </row>
    <row r="21">
      <c r="B21" s="5" t="inlineStr">
        <is>
          <t>Population-weighted eviction rate</t>
        </is>
      </c>
      <c r="C21" s="43">
        <f>SUMPRODUCT(C26:C30,D26:D30)</f>
        <v/>
      </c>
      <c r="D21" s="28" t="inlineStr">
        <is>
          <t>From credit-tier table below; depends on the population mix you assume</t>
        </is>
      </c>
      <c r="E21" s="2" t="n"/>
      <c r="F21" s="2" t="n"/>
      <c r="G21" s="2" t="n"/>
      <c r="H21" s="2" t="n"/>
    </row>
    <row r="22">
      <c r="B22" s="7" t="inlineStr">
        <is>
          <t>Effective recovery rate r  (used in year-by-year model)</t>
        </is>
      </c>
      <c r="C22" s="44">
        <f>IF(C17="Manual override",C18,MAX(0,1-C21*C19-C20))</f>
        <v/>
      </c>
      <c r="D22" s="28" t="inlineStr">
        <is>
          <t>r = 1 − (weighted eviction × LGE) − base non-recovery</t>
        </is>
      </c>
      <c r="E22" s="2" t="n"/>
      <c r="F22" s="2" t="n"/>
      <c r="G22" s="2" t="n"/>
      <c r="H22" s="2" t="n"/>
    </row>
    <row r="23">
      <c r="B23" s="45" t="n"/>
      <c r="C23" s="45" t="n"/>
      <c r="D23" s="45" t="n"/>
      <c r="E23" s="8" t="n"/>
      <c r="F23" s="8" t="n"/>
      <c r="G23" s="8" t="n"/>
      <c r="H23" s="8" t="n"/>
    </row>
    <row r="24" ht="28.5" customHeight="1" s="29">
      <c r="B24" s="9" t="inlineStr">
        <is>
          <t>Credit-tier reference  (TransUnion ResidentScore — see v9 Policy Analysis §3)</t>
        </is>
      </c>
      <c r="E24" s="8" t="n"/>
      <c r="F24" s="8" t="n"/>
      <c r="G24" s="8" t="n"/>
      <c r="H24" s="8" t="n"/>
    </row>
    <row r="25">
      <c r="B25" s="10" t="inlineStr">
        <is>
          <t>ResidentScore tier</t>
        </is>
      </c>
      <c r="C25" s="11" t="inlineStr">
        <is>
          <t>Eviction rate</t>
        </is>
      </c>
      <c r="D25" s="11" t="inlineStr">
        <is>
          <t>Population mix  (edit to match served population)</t>
        </is>
      </c>
      <c r="E25" s="8" t="n"/>
      <c r="F25" s="8" t="n"/>
      <c r="G25" s="8" t="n"/>
      <c r="H25" s="8" t="n"/>
    </row>
    <row r="26">
      <c r="B26" s="12" t="inlineStr">
        <is>
          <t>350–449</t>
        </is>
      </c>
      <c r="C26" s="46" t="n">
        <v>0.123</v>
      </c>
      <c r="D26" s="46" t="n">
        <v>0.05</v>
      </c>
      <c r="E26" s="8" t="n"/>
      <c r="F26" s="8" t="n"/>
      <c r="G26" s="8" t="n"/>
      <c r="H26" s="8" t="n"/>
    </row>
    <row r="27">
      <c r="B27" s="12" t="inlineStr">
        <is>
          <t>450–499</t>
        </is>
      </c>
      <c r="C27" s="46" t="n">
        <v>0.094</v>
      </c>
      <c r="D27" s="46" t="n">
        <v>0.15</v>
      </c>
      <c r="E27" s="8" t="n"/>
      <c r="F27" s="8" t="n"/>
      <c r="G27" s="8" t="n"/>
      <c r="H27" s="8" t="n"/>
    </row>
    <row r="28">
      <c r="B28" s="12" t="inlineStr">
        <is>
          <t>500–549</t>
        </is>
      </c>
      <c r="C28" s="46" t="n">
        <v>0.058</v>
      </c>
      <c r="D28" s="46" t="n">
        <v>0.35</v>
      </c>
      <c r="E28" s="8" t="n"/>
      <c r="F28" s="8" t="n"/>
      <c r="G28" s="8" t="n"/>
      <c r="H28" s="8" t="n"/>
    </row>
    <row r="29">
      <c r="B29" s="12" t="inlineStr">
        <is>
          <t>550–649</t>
        </is>
      </c>
      <c r="C29" s="46" t="n">
        <v>0.013</v>
      </c>
      <c r="D29" s="46" t="n">
        <v>0.35</v>
      </c>
      <c r="E29" s="8" t="n"/>
      <c r="F29" s="8" t="n"/>
      <c r="G29" s="8" t="n"/>
      <c r="H29" s="8" t="n"/>
    </row>
    <row r="30">
      <c r="B30" s="12" t="inlineStr">
        <is>
          <t>650–749</t>
        </is>
      </c>
      <c r="C30" s="46" t="n">
        <v>0.003</v>
      </c>
      <c r="D30" s="46" t="n">
        <v>0.1</v>
      </c>
      <c r="E30" s="8" t="n"/>
      <c r="F30" s="8" t="n"/>
      <c r="G30" s="8" t="n"/>
      <c r="H30" s="8" t="n"/>
    </row>
    <row r="31">
      <c r="B31" s="5" t="inlineStr">
        <is>
          <t>Population mix total (must equal 100%)</t>
        </is>
      </c>
      <c r="C31" s="45" t="n"/>
      <c r="D31" s="47">
        <f>SUM(D26:D30)</f>
        <v/>
      </c>
      <c r="E31" s="8" t="n"/>
      <c r="F31" s="8" t="n"/>
      <c r="G31" s="8" t="n"/>
      <c r="H31" s="8" t="n"/>
    </row>
    <row r="32">
      <c r="B32" s="35" t="n"/>
      <c r="C32" s="45" t="n"/>
      <c r="D32" s="45" t="n"/>
      <c r="E32" s="8" t="n"/>
      <c r="F32" s="8" t="n"/>
      <c r="G32" s="8" t="n"/>
      <c r="H32" s="8" t="n"/>
    </row>
    <row r="33">
      <c r="B33" s="32" t="inlineStr">
        <is>
          <t>RESULTS — 10-year horizon  (do nothing vs. HB 1336 passes)</t>
        </is>
      </c>
      <c r="C33" s="52" t="n"/>
      <c r="D33" s="53" t="n"/>
      <c r="E33" s="8" t="n"/>
      <c r="F33" s="8" t="n"/>
      <c r="G33" s="8" t="n"/>
      <c r="H33" s="8" t="n"/>
    </row>
    <row r="34">
      <c r="B34" s="5" t="inlineStr">
        <is>
          <t>Cumulative households — DO NOTHING (grant, deposit-only)</t>
        </is>
      </c>
      <c r="C34" s="50">
        <f>H52</f>
        <v/>
      </c>
    </row>
    <row r="35" ht="28.5" customHeight="1" s="29">
      <c r="B35" s="5" t="inlineStr">
        <is>
          <t>Cumulative households — HB 1336 PASSES (revolving, deposit + RCD where needed)</t>
        </is>
      </c>
      <c r="C35" s="50">
        <f>E52</f>
        <v/>
      </c>
    </row>
    <row r="36">
      <c r="B36" s="5" t="inlineStr">
        <is>
          <t>Incremental households from HB 1336</t>
        </is>
      </c>
      <c r="C36" s="50">
        <f>C35-C34</f>
        <v/>
      </c>
    </row>
    <row r="37">
      <c r="B37" s="5" t="inlineStr">
        <is>
          <t>Reach multiplier (HB 1336 ÷ do nothing)</t>
        </is>
      </c>
      <c r="C37" s="51">
        <f>C35/C34</f>
        <v/>
      </c>
    </row>
    <row r="38">
      <c r="B38" s="5" t="inlineStr">
        <is>
          <t>Year-10 annual capacity — do nothing</t>
        </is>
      </c>
      <c r="C38" s="50">
        <f>G52</f>
        <v/>
      </c>
    </row>
    <row r="39">
      <c r="B39" s="5" t="inlineStr">
        <is>
          <t>Year-10 annual capacity — HB 1336</t>
        </is>
      </c>
      <c r="C39" s="50">
        <f>D52</f>
        <v/>
      </c>
    </row>
    <row r="41">
      <c r="B41" s="4" t="inlineStr">
        <is>
          <t>YEAR-BY-YEAR</t>
        </is>
      </c>
    </row>
    <row r="42" ht="28.5" customHeight="1" s="29">
      <c r="B42" s="14" t="inlineStr">
        <is>
          <t>Year</t>
        </is>
      </c>
      <c r="C42" s="14" t="inlineStr">
        <is>
          <t>HB 1336:
capital deployed</t>
        </is>
      </c>
      <c r="D42" s="14" t="inlineStr">
        <is>
          <t>HB 1336:
households</t>
        </is>
      </c>
      <c r="E42" s="14" t="inlineStr">
        <is>
          <t>HB 1336:
cumulative HH</t>
        </is>
      </c>
      <c r="F42" s="14" t="inlineStr">
        <is>
          <t>Do nothing:
grant capital</t>
        </is>
      </c>
      <c r="G42" s="14" t="inlineStr">
        <is>
          <t>Do nothing:
households</t>
        </is>
      </c>
      <c r="H42" s="14" t="inlineStr">
        <is>
          <t>Do nothing:
cumulative HH</t>
        </is>
      </c>
    </row>
    <row r="43">
      <c r="B43" s="15" t="n">
        <v>1</v>
      </c>
      <c r="C43" s="38">
        <f>$C$7+IF(B43&gt;$C$12,$C$14*$C$22*OFFSET(B43,-$C$12,1),0)</f>
        <v/>
      </c>
      <c r="D43" s="50">
        <f>C43/$C$11</f>
        <v/>
      </c>
      <c r="E43" s="13">
        <f>D43</f>
        <v/>
      </c>
      <c r="F43" s="6">
        <f>$C$7</f>
        <v/>
      </c>
      <c r="G43" s="13">
        <f>F43/$C$8</f>
        <v/>
      </c>
      <c r="H43" s="13">
        <f>G43</f>
        <v/>
      </c>
    </row>
    <row r="44">
      <c r="B44" s="15" t="n">
        <v>2</v>
      </c>
      <c r="C44" s="38">
        <f>$C$7+IF(B44&gt;$C$12,$C$14*$C$22*OFFSET(B44,-$C$12,1),0)</f>
        <v/>
      </c>
      <c r="D44" s="50">
        <f>C44/$C$11</f>
        <v/>
      </c>
      <c r="E44" s="13">
        <f>E43+D44</f>
        <v/>
      </c>
      <c r="F44" s="6">
        <f>$C$7</f>
        <v/>
      </c>
      <c r="G44" s="13">
        <f>F44/$C$8</f>
        <v/>
      </c>
      <c r="H44" s="13">
        <f>H43+G44</f>
        <v/>
      </c>
    </row>
    <row r="45">
      <c r="B45" s="15" t="n">
        <v>3</v>
      </c>
      <c r="C45" s="38">
        <f>$C$7+IF(B45&gt;$C$12,$C$14*$C$22*OFFSET(B45,-$C$12,1),0)</f>
        <v/>
      </c>
      <c r="D45" s="50">
        <f>C45/$C$11</f>
        <v/>
      </c>
      <c r="E45" s="13">
        <f>E44+D45</f>
        <v/>
      </c>
      <c r="F45" s="6">
        <f>$C$7</f>
        <v/>
      </c>
      <c r="G45" s="13">
        <f>F45/$C$8</f>
        <v/>
      </c>
      <c r="H45" s="13">
        <f>H44+G45</f>
        <v/>
      </c>
    </row>
    <row r="46">
      <c r="B46" s="15" t="n">
        <v>4</v>
      </c>
      <c r="C46" s="38">
        <f>$C$7+IF(B46&gt;$C$12,$C$14*$C$22*OFFSET(B46,-$C$12,1),0)</f>
        <v/>
      </c>
      <c r="D46" s="50">
        <f>C46/$C$11</f>
        <v/>
      </c>
      <c r="E46" s="13">
        <f>E45+D46</f>
        <v/>
      </c>
      <c r="F46" s="6">
        <f>$C$7</f>
        <v/>
      </c>
      <c r="G46" s="13">
        <f>F46/$C$8</f>
        <v/>
      </c>
      <c r="H46" s="13">
        <f>H45+G46</f>
        <v/>
      </c>
    </row>
    <row r="47">
      <c r="B47" s="15" t="n">
        <v>5</v>
      </c>
      <c r="C47" s="38">
        <f>$C$7+IF(B47&gt;$C$12,$C$14*$C$22*OFFSET(B47,-$C$12,1),0)</f>
        <v/>
      </c>
      <c r="D47" s="50">
        <f>C47/$C$11</f>
        <v/>
      </c>
      <c r="E47" s="13">
        <f>E46+D47</f>
        <v/>
      </c>
      <c r="F47" s="6">
        <f>$C$7</f>
        <v/>
      </c>
      <c r="G47" s="13">
        <f>F47/$C$8</f>
        <v/>
      </c>
      <c r="H47" s="13">
        <f>H46+G47</f>
        <v/>
      </c>
    </row>
    <row r="48">
      <c r="B48" s="15" t="n">
        <v>6</v>
      </c>
      <c r="C48" s="38">
        <f>$C$7+IF(B48&gt;$C$12,$C$14*$C$22*OFFSET(B48,-$C$12,1),0)</f>
        <v/>
      </c>
      <c r="D48" s="50">
        <f>C48/$C$11</f>
        <v/>
      </c>
      <c r="E48" s="13">
        <f>E47+D48</f>
        <v/>
      </c>
      <c r="F48" s="6">
        <f>$C$7</f>
        <v/>
      </c>
      <c r="G48" s="13">
        <f>F48/$C$8</f>
        <v/>
      </c>
      <c r="H48" s="13">
        <f>H47+G48</f>
        <v/>
      </c>
    </row>
    <row r="49">
      <c r="B49" s="15" t="n">
        <v>7</v>
      </c>
      <c r="C49" s="38">
        <f>$C$7+IF(B49&gt;$C$12,$C$14*$C$22*OFFSET(B49,-$C$12,1),0)</f>
        <v/>
      </c>
      <c r="D49" s="50">
        <f>C49/$C$11</f>
        <v/>
      </c>
      <c r="E49" s="13">
        <f>E48+D49</f>
        <v/>
      </c>
      <c r="F49" s="6">
        <f>$C$7</f>
        <v/>
      </c>
      <c r="G49" s="13">
        <f>F49/$C$8</f>
        <v/>
      </c>
      <c r="H49" s="13">
        <f>H48+G49</f>
        <v/>
      </c>
    </row>
    <row r="50">
      <c r="B50" s="15" t="n">
        <v>8</v>
      </c>
      <c r="C50" s="38">
        <f>$C$7+IF(B50&gt;$C$12,$C$14*$C$22*OFFSET(B50,-$C$12,1),0)</f>
        <v/>
      </c>
      <c r="D50" s="50">
        <f>C50/$C$11</f>
        <v/>
      </c>
      <c r="E50" s="13">
        <f>E49+D50</f>
        <v/>
      </c>
      <c r="F50" s="6">
        <f>$C$7</f>
        <v/>
      </c>
      <c r="G50" s="13">
        <f>F50/$C$8</f>
        <v/>
      </c>
      <c r="H50" s="13">
        <f>H49+G50</f>
        <v/>
      </c>
    </row>
    <row r="51">
      <c r="B51" s="15" t="n">
        <v>9</v>
      </c>
      <c r="C51" s="38">
        <f>$C$7+IF(B51&gt;$C$12,$C$14*$C$22*OFFSET(B51,-$C$12,1),0)</f>
        <v/>
      </c>
      <c r="D51" s="50">
        <f>C51/$C$11</f>
        <v/>
      </c>
      <c r="E51" s="13">
        <f>E50+D51</f>
        <v/>
      </c>
      <c r="F51" s="6">
        <f>$C$7</f>
        <v/>
      </c>
      <c r="G51" s="13">
        <f>F51/$C$8</f>
        <v/>
      </c>
      <c r="H51" s="13">
        <f>H50+G51</f>
        <v/>
      </c>
    </row>
    <row r="52">
      <c r="B52" s="15" t="n">
        <v>10</v>
      </c>
      <c r="C52" s="38">
        <f>$C$7+IF(B52&gt;$C$12,$C$14*$C$22*OFFSET(B52,-$C$12,1),0)</f>
        <v/>
      </c>
      <c r="D52" s="50">
        <f>C52/$C$11</f>
        <v/>
      </c>
      <c r="E52" s="13">
        <f>E51+D52</f>
        <v/>
      </c>
      <c r="F52" s="6">
        <f>$C$7</f>
        <v/>
      </c>
      <c r="G52" s="13">
        <f>F52/$C$8</f>
        <v/>
      </c>
      <c r="H52" s="13">
        <f>H51+G52</f>
        <v/>
      </c>
    </row>
  </sheetData>
  <mergeCells count="1">
    <mergeCell ref="B33:D33"/>
  </mergeCells>
  <dataValidations count="2">
    <dataValidation sqref="C11" showDropDown="0" showInputMessage="0" showErrorMessage="0" allowBlank="0" type="list">
      <formula1>"Yes,No"</formula1>
      <formula2>0</formula2>
    </dataValidation>
    <dataValidation sqref="C9" showDropDown="0" showInputMessage="0" showErrorMessage="0" allowBlank="0" type="whole">
      <formula1>1</formula1>
      <formula2>5</formula2>
    </dataValidation>
  </dataValidations>
  <pageMargins left="0.75" right="0.75" top="1" bottom="1" header="0.511811023622047" footer="0.511811023622047"/>
  <pageSetup orientation="portrait" paperSize="9" fitToHeight="0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0" tabSelected="1" zoomScaleNormal="100" workbookViewId="0">
      <selection activeCell="C7" sqref="C7"/>
    </sheetView>
  </sheetViews>
  <sheetFormatPr baseColWidth="8" defaultColWidth="8.6640625" defaultRowHeight="14.25"/>
  <cols>
    <col width="52" customWidth="1" style="29" min="1" max="1"/>
    <col width="14" customWidth="1" style="29" min="2" max="7"/>
    <col width="14" customWidth="1" style="29" min="3" max="3"/>
    <col width="14" customWidth="1" style="29" min="4" max="4"/>
    <col width="14" customWidth="1" style="29" min="5" max="5"/>
    <col width="14" customWidth="1" style="29" min="6" max="6"/>
    <col width="14" customWidth="1" style="29" min="7" max="7"/>
  </cols>
  <sheetData>
    <row r="1" ht="17.65" customHeight="1" s="29">
      <c r="A1" s="54" t="inlineStr">
        <is>
          <t>Sensitivity — incremental impact of HB 1336 vs. do-nothing baseline   (DYNAMIC: every cell recomputes from current Model inputs)</t>
        </is>
      </c>
      <c r="H1" s="55" t="n"/>
    </row>
    <row r="2" ht="40" customHeight="1" s="29">
      <c r="A2" s="56" t="inlineStr">
        <is>
          <t>Do-nothing baseline: charity funds standard deposits as one-way grants; RCDs do not exist; no recovery applies, so baseline = (net new capital × 10 years) ÷ deposit. HB 1336 baseline: revolving fund supports deposit + RCD where needed, both refundable under §540-A:7, I(b) and recycled.</t>
        </is>
      </c>
      <c r="H2" s="55" t="n"/>
    </row>
    <row r="3" ht="28" customHeight="1" s="29">
      <c r="A3" s="56" t="inlineStr">
        <is>
          <t>In tables 1–3, recovery rate r and tenancy L apply to HB 1336 only. The do-nothing baseline is independent of r (no recycling possible without §540-A:7, I(b)).</t>
        </is>
      </c>
      <c r="H3" s="55" t="n"/>
    </row>
    <row r="4">
      <c r="A4" s="57" t="inlineStr">
        <is>
          <t>Live do-nothing baseline (households / 10 yrs):</t>
        </is>
      </c>
      <c r="B4" s="58">
        <f>Model!$C$7*10/Model!$C$8</f>
        <v/>
      </c>
      <c r="C4" s="55" t="n"/>
      <c r="D4" s="55" t="n"/>
      <c r="E4" s="55" t="n"/>
      <c r="F4" s="55" t="n"/>
      <c r="G4" s="55" t="n"/>
      <c r="H4" s="55" t="n"/>
    </row>
    <row r="5">
      <c r="A5" s="55" t="n"/>
      <c r="B5" s="55" t="n"/>
      <c r="C5" s="55" t="n"/>
      <c r="D5" s="55" t="n"/>
      <c r="E5" s="55" t="n"/>
      <c r="F5" s="55" t="n"/>
      <c r="G5" s="55" t="n"/>
      <c r="H5" s="55" t="n"/>
    </row>
    <row r="6">
      <c r="A6" s="59" t="inlineStr">
        <is>
          <t>Table 1 — Reach multiplier (HB 1336 ÷ do nothing)  at the model's current bundle %</t>
        </is>
      </c>
      <c r="B6" s="52" t="n"/>
      <c r="C6" s="52" t="n"/>
      <c r="D6" s="52" t="n"/>
      <c r="E6" s="53" t="n"/>
      <c r="F6" s="55" t="n"/>
      <c r="G6" s="55" t="n"/>
      <c r="H6" s="55" t="n"/>
    </row>
    <row r="7">
      <c r="A7" s="60" t="inlineStr">
        <is>
          <t>HB 1336 recovery r \ tenancy L</t>
        </is>
      </c>
      <c r="B7" s="61" t="n">
        <v>1</v>
      </c>
      <c r="C7" s="61" t="n">
        <v>2</v>
      </c>
      <c r="D7" s="61" t="n">
        <v>3</v>
      </c>
      <c r="E7" s="61" t="n">
        <v>4</v>
      </c>
      <c r="F7" s="55" t="n"/>
      <c r="G7" s="55" t="n"/>
      <c r="H7" s="55" t="n"/>
    </row>
    <row r="8">
      <c r="A8" s="62" t="n">
        <v>0.5</v>
      </c>
      <c r="B8" s="63">
        <f>Model!$C$7/(1-$A8)*(10-SUMPRODUCT(POWER($A8,INT((ROW(INDIRECT("1:10"))-1)/B$7)+1)))/Model!$C$11/(Model!$C$7*10/Model!$C$8)</f>
        <v/>
      </c>
      <c r="C8" s="63">
        <f>Model!$C$7/(1-$A8)*(10-SUMPRODUCT(POWER($A8,INT((ROW(INDIRECT("1:10"))-1)/C$7)+1)))/Model!$C$11/(Model!$C$7*10/Model!$C$8)</f>
        <v/>
      </c>
      <c r="D8" s="63">
        <f>Model!$C$7/(1-$A8)*(10-SUMPRODUCT(POWER($A8,INT((ROW(INDIRECT("1:10"))-1)/D$7)+1)))/Model!$C$11/(Model!$C$7*10/Model!$C$8)</f>
        <v/>
      </c>
      <c r="E8" s="63">
        <f>Model!$C$7/(1-$A8)*(10-SUMPRODUCT(POWER($A8,INT((ROW(INDIRECT("1:10"))-1)/E$7)+1)))/Model!$C$11/(Model!$C$7*10/Model!$C$8)</f>
        <v/>
      </c>
      <c r="F8" s="55" t="n"/>
      <c r="G8" s="55" t="n"/>
      <c r="H8" s="55" t="n"/>
    </row>
    <row r="9">
      <c r="A9" s="62" t="n">
        <v>0.6</v>
      </c>
      <c r="B9" s="63">
        <f>Model!$C$7/(1-$A9)*(10-SUMPRODUCT(POWER($A9,INT((ROW(INDIRECT("1:10"))-1)/B$7)+1)))/Model!$C$11/(Model!$C$7*10/Model!$C$8)</f>
        <v/>
      </c>
      <c r="C9" s="63">
        <f>Model!$C$7/(1-$A9)*(10-SUMPRODUCT(POWER($A9,INT((ROW(INDIRECT("1:10"))-1)/C$7)+1)))/Model!$C$11/(Model!$C$7*10/Model!$C$8)</f>
        <v/>
      </c>
      <c r="D9" s="63">
        <f>Model!$C$7/(1-$A9)*(10-SUMPRODUCT(POWER($A9,INT((ROW(INDIRECT("1:10"))-1)/D$7)+1)))/Model!$C$11/(Model!$C$7*10/Model!$C$8)</f>
        <v/>
      </c>
      <c r="E9" s="63">
        <f>Model!$C$7/(1-$A9)*(10-SUMPRODUCT(POWER($A9,INT((ROW(INDIRECT("1:10"))-1)/E$7)+1)))/Model!$C$11/(Model!$C$7*10/Model!$C$8)</f>
        <v/>
      </c>
      <c r="F9" s="55" t="n"/>
      <c r="G9" s="55" t="n"/>
      <c r="H9" s="55" t="n"/>
    </row>
    <row r="10">
      <c r="A10" s="62" t="n">
        <v>0.7</v>
      </c>
      <c r="B10" s="63">
        <f>Model!$C$7/(1-$A10)*(10-SUMPRODUCT(POWER($A10,INT((ROW(INDIRECT("1:10"))-1)/B$7)+1)))/Model!$C$11/(Model!$C$7*10/Model!$C$8)</f>
        <v/>
      </c>
      <c r="C10" s="63">
        <f>Model!$C$7/(1-$A10)*(10-SUMPRODUCT(POWER($A10,INT((ROW(INDIRECT("1:10"))-1)/C$7)+1)))/Model!$C$11/(Model!$C$7*10/Model!$C$8)</f>
        <v/>
      </c>
      <c r="D10" s="63">
        <f>Model!$C$7/(1-$A10)*(10-SUMPRODUCT(POWER($A10,INT((ROW(INDIRECT("1:10"))-1)/D$7)+1)))/Model!$C$11/(Model!$C$7*10/Model!$C$8)</f>
        <v/>
      </c>
      <c r="E10" s="63">
        <f>Model!$C$7/(1-$A10)*(10-SUMPRODUCT(POWER($A10,INT((ROW(INDIRECT("1:10"))-1)/E$7)+1)))/Model!$C$11/(Model!$C$7*10/Model!$C$8)</f>
        <v/>
      </c>
      <c r="F10" s="55" t="n"/>
      <c r="G10" s="55" t="n"/>
      <c r="H10" s="55" t="n"/>
    </row>
    <row r="11">
      <c r="A11" s="62" t="n">
        <v>0.8</v>
      </c>
      <c r="B11" s="63">
        <f>Model!$C$7/(1-$A11)*(10-SUMPRODUCT(POWER($A11,INT((ROW(INDIRECT("1:10"))-1)/B$7)+1)))/Model!$C$11/(Model!$C$7*10/Model!$C$8)</f>
        <v/>
      </c>
      <c r="C11" s="63">
        <f>Model!$C$7/(1-$A11)*(10-SUMPRODUCT(POWER($A11,INT((ROW(INDIRECT("1:10"))-1)/C$7)+1)))/Model!$C$11/(Model!$C$7*10/Model!$C$8)</f>
        <v/>
      </c>
      <c r="D11" s="63">
        <f>Model!$C$7/(1-$A11)*(10-SUMPRODUCT(POWER($A11,INT((ROW(INDIRECT("1:10"))-1)/D$7)+1)))/Model!$C$11/(Model!$C$7*10/Model!$C$8)</f>
        <v/>
      </c>
      <c r="E11" s="63">
        <f>Model!$C$7/(1-$A11)*(10-SUMPRODUCT(POWER($A11,INT((ROW(INDIRECT("1:10"))-1)/E$7)+1)))/Model!$C$11/(Model!$C$7*10/Model!$C$8)</f>
        <v/>
      </c>
      <c r="F11" s="55" t="n"/>
      <c r="G11" s="55" t="n"/>
      <c r="H11" s="55" t="n"/>
    </row>
    <row r="12">
      <c r="A12" s="64" t="n">
        <v>0.9</v>
      </c>
      <c r="B12" s="65">
        <f>Model!$C$7/(1-$A12)*(10-SUMPRODUCT(POWER($A12,INT((ROW(INDIRECT("1:10"))-1)/B$7)+1)))/Model!$C$11/(Model!$C$7*10/Model!$C$8)</f>
        <v/>
      </c>
      <c r="C12" s="65">
        <f>Model!$C$7/(1-$A12)*(10-SUMPRODUCT(POWER($A12,INT((ROW(INDIRECT("1:10"))-1)/C$7)+1)))/Model!$C$11/(Model!$C$7*10/Model!$C$8)</f>
        <v/>
      </c>
      <c r="D12" s="65">
        <f>Model!$C$7/(1-$A12)*(10-SUMPRODUCT(POWER($A12,INT((ROW(INDIRECT("1:10"))-1)/D$7)+1)))/Model!$C$11/(Model!$C$7*10/Model!$C$8)</f>
        <v/>
      </c>
      <c r="E12" s="65">
        <f>Model!$C$7/(1-$A12)*(10-SUMPRODUCT(POWER($A12,INT((ROW(INDIRECT("1:10"))-1)/E$7)+1)))/Model!$C$11/(Model!$C$7*10/Model!$C$8)</f>
        <v/>
      </c>
      <c r="F12" s="55" t="n"/>
      <c r="G12" s="55" t="n"/>
      <c r="H12" s="55" t="n"/>
    </row>
    <row r="13" ht="28" customHeight="1" s="29">
      <c r="A13" s="56" t="inlineStr">
        <is>
          <t>Reach multiplier &gt; 1.0 means HB 1336 serves more households than do-nothing at those parameters. Bundle % is whatever you've set in Model!C10; do-nothing is always live cell B4 above.</t>
        </is>
      </c>
      <c r="H13" s="55" t="n"/>
    </row>
    <row r="14">
      <c r="A14" s="55" t="n"/>
      <c r="B14" s="55" t="n"/>
      <c r="C14" s="55" t="n"/>
      <c r="D14" s="55" t="n"/>
      <c r="E14" s="55" t="n"/>
      <c r="F14" s="55" t="n"/>
      <c r="G14" s="55" t="n"/>
      <c r="H14" s="55" t="n"/>
    </row>
    <row r="15">
      <c r="A15" s="59" t="inlineStr">
        <is>
          <t>Table 2 — Cumulative households under HB 1336 over 10 years  at the model's current bundle %</t>
        </is>
      </c>
      <c r="B15" s="52" t="n"/>
      <c r="C15" s="52" t="n"/>
      <c r="D15" s="52" t="n"/>
      <c r="E15" s="53" t="n"/>
      <c r="F15" s="55" t="n"/>
      <c r="G15" s="55" t="n"/>
      <c r="H15" s="55" t="n"/>
    </row>
    <row r="16">
      <c r="A16" s="60" t="inlineStr">
        <is>
          <t>HB 1336 recovery r \ tenancy L</t>
        </is>
      </c>
      <c r="B16" s="61" t="n">
        <v>1</v>
      </c>
      <c r="C16" s="61" t="n">
        <v>2</v>
      </c>
      <c r="D16" s="61" t="n">
        <v>3</v>
      </c>
      <c r="E16" s="61" t="n">
        <v>4</v>
      </c>
      <c r="F16" s="55" t="n"/>
      <c r="G16" s="55" t="n"/>
      <c r="H16" s="55" t="n"/>
    </row>
    <row r="17">
      <c r="A17" s="62" t="n">
        <v>0.5</v>
      </c>
      <c r="B17" s="66">
        <f>Model!$C$7/(1-$A17)*(10-SUMPRODUCT(POWER($A17,INT((ROW(INDIRECT("1:10"))-1)/B$16)+1)))/Model!$C$11</f>
        <v/>
      </c>
      <c r="C17" s="66">
        <f>Model!$C$7/(1-$A17)*(10-SUMPRODUCT(POWER($A17,INT((ROW(INDIRECT("1:10"))-1)/C$16)+1)))/Model!$C$11</f>
        <v/>
      </c>
      <c r="D17" s="66">
        <f>Model!$C$7/(1-$A17)*(10-SUMPRODUCT(POWER($A17,INT((ROW(INDIRECT("1:10"))-1)/D$16)+1)))/Model!$C$11</f>
        <v/>
      </c>
      <c r="E17" s="66">
        <f>Model!$C$7/(1-$A17)*(10-SUMPRODUCT(POWER($A17,INT((ROW(INDIRECT("1:10"))-1)/E$16)+1)))/Model!$C$11</f>
        <v/>
      </c>
      <c r="F17" s="55" t="n"/>
      <c r="G17" s="55" t="n"/>
      <c r="H17" s="55" t="n"/>
    </row>
    <row r="18">
      <c r="A18" s="62" t="n">
        <v>0.6</v>
      </c>
      <c r="B18" s="66">
        <f>Model!$C$7/(1-$A18)*(10-SUMPRODUCT(POWER($A18,INT((ROW(INDIRECT("1:10"))-1)/B$16)+1)))/Model!$C$11</f>
        <v/>
      </c>
      <c r="C18" s="66">
        <f>Model!$C$7/(1-$A18)*(10-SUMPRODUCT(POWER($A18,INT((ROW(INDIRECT("1:10"))-1)/C$16)+1)))/Model!$C$11</f>
        <v/>
      </c>
      <c r="D18" s="66">
        <f>Model!$C$7/(1-$A18)*(10-SUMPRODUCT(POWER($A18,INT((ROW(INDIRECT("1:10"))-1)/D$16)+1)))/Model!$C$11</f>
        <v/>
      </c>
      <c r="E18" s="66">
        <f>Model!$C$7/(1-$A18)*(10-SUMPRODUCT(POWER($A18,INT((ROW(INDIRECT("1:10"))-1)/E$16)+1)))/Model!$C$11</f>
        <v/>
      </c>
      <c r="F18" s="55" t="n"/>
      <c r="G18" s="55" t="n"/>
      <c r="H18" s="55" t="n"/>
    </row>
    <row r="19">
      <c r="A19" s="62" t="n">
        <v>0.7</v>
      </c>
      <c r="B19" s="66">
        <f>Model!$C$7/(1-$A19)*(10-SUMPRODUCT(POWER($A19,INT((ROW(INDIRECT("1:10"))-1)/B$16)+1)))/Model!$C$11</f>
        <v/>
      </c>
      <c r="C19" s="66">
        <f>Model!$C$7/(1-$A19)*(10-SUMPRODUCT(POWER($A19,INT((ROW(INDIRECT("1:10"))-1)/C$16)+1)))/Model!$C$11</f>
        <v/>
      </c>
      <c r="D19" s="66">
        <f>Model!$C$7/(1-$A19)*(10-SUMPRODUCT(POWER($A19,INT((ROW(INDIRECT("1:10"))-1)/D$16)+1)))/Model!$C$11</f>
        <v/>
      </c>
      <c r="E19" s="66">
        <f>Model!$C$7/(1-$A19)*(10-SUMPRODUCT(POWER($A19,INT((ROW(INDIRECT("1:10"))-1)/E$16)+1)))/Model!$C$11</f>
        <v/>
      </c>
      <c r="F19" s="55" t="n"/>
      <c r="G19" s="55" t="n"/>
      <c r="H19" s="55" t="n"/>
    </row>
    <row r="20">
      <c r="A20" s="62" t="n">
        <v>0.8</v>
      </c>
      <c r="B20" s="66">
        <f>Model!$C$7/(1-$A20)*(10-SUMPRODUCT(POWER($A20,INT((ROW(INDIRECT("1:10"))-1)/B$16)+1)))/Model!$C$11</f>
        <v/>
      </c>
      <c r="C20" s="66">
        <f>Model!$C$7/(1-$A20)*(10-SUMPRODUCT(POWER($A20,INT((ROW(INDIRECT("1:10"))-1)/C$16)+1)))/Model!$C$11</f>
        <v/>
      </c>
      <c r="D20" s="66">
        <f>Model!$C$7/(1-$A20)*(10-SUMPRODUCT(POWER($A20,INT((ROW(INDIRECT("1:10"))-1)/D$16)+1)))/Model!$C$11</f>
        <v/>
      </c>
      <c r="E20" s="66">
        <f>Model!$C$7/(1-$A20)*(10-SUMPRODUCT(POWER($A20,INT((ROW(INDIRECT("1:10"))-1)/E$16)+1)))/Model!$C$11</f>
        <v/>
      </c>
      <c r="F20" s="55" t="n"/>
      <c r="G20" s="55" t="n"/>
      <c r="H20" s="55" t="n"/>
    </row>
    <row r="21">
      <c r="A21" s="64" t="n">
        <v>0.9</v>
      </c>
      <c r="B21" s="67">
        <f>Model!$C$7/(1-$A21)*(10-SUMPRODUCT(POWER($A21,INT((ROW(INDIRECT("1:10"))-1)/B$16)+1)))/Model!$C$11</f>
        <v/>
      </c>
      <c r="C21" s="67">
        <f>Model!$C$7/(1-$A21)*(10-SUMPRODUCT(POWER($A21,INT((ROW(INDIRECT("1:10"))-1)/C$16)+1)))/Model!$C$11</f>
        <v/>
      </c>
      <c r="D21" s="67">
        <f>Model!$C$7/(1-$A21)*(10-SUMPRODUCT(POWER($A21,INT((ROW(INDIRECT("1:10"))-1)/D$16)+1)))/Model!$C$11</f>
        <v/>
      </c>
      <c r="E21" s="67">
        <f>Model!$C$7/(1-$A21)*(10-SUMPRODUCT(POWER($A21,INT((ROW(INDIRECT("1:10"))-1)/E$16)+1)))/Model!$C$11</f>
        <v/>
      </c>
      <c r="F21" s="55" t="n"/>
      <c r="G21" s="55" t="n"/>
      <c r="H21" s="55" t="n"/>
    </row>
    <row r="22">
      <c r="A22" s="56" t="inlineStr">
        <is>
          <t>Compare each cell to the do-nothing baseline in B4 (live). HB 1336 dominates do-nothing wherever cells in this table exceed the B4 baseline.</t>
        </is>
      </c>
      <c r="H22" s="55" t="n"/>
    </row>
    <row r="23">
      <c r="A23" s="55" t="n"/>
      <c r="B23" s="55" t="n"/>
      <c r="C23" s="55" t="n"/>
      <c r="D23" s="55" t="n"/>
      <c r="E23" s="55" t="n"/>
      <c r="F23" s="55" t="n"/>
      <c r="G23" s="55" t="n"/>
      <c r="H23" s="55" t="n"/>
    </row>
    <row r="24">
      <c r="A24" s="68" t="inlineStr">
        <is>
          <t>Table 3 — Bundling sensitivity:  10-year cumulative HH under HB 1336 vs. (bundle %, recovery r) at the model's current L</t>
        </is>
      </c>
      <c r="H24" s="55" t="n"/>
    </row>
    <row r="25" ht="28" customHeight="1" s="29">
      <c r="A25" s="56" t="inlineStr">
        <is>
          <t>Bundle % is varied here independently of Model!C10 so you can see the full surface. r is the HB 1336 recovery rate (does not apply to do nothing). L is taken from the model (Model!C12).</t>
        </is>
      </c>
      <c r="H25" s="55" t="n"/>
    </row>
    <row r="26">
      <c r="A26" s="55" t="n"/>
      <c r="B26" s="55" t="n"/>
      <c r="C26" s="55" t="n"/>
      <c r="D26" s="55" t="n"/>
      <c r="E26" s="55" t="n"/>
      <c r="F26" s="55" t="n"/>
      <c r="G26" s="55" t="n"/>
      <c r="H26" s="55" t="n"/>
    </row>
    <row r="27">
      <c r="A27" s="69" t="inlineStr">
        <is>
          <t>Bundle % \ HB 1336 recovery r</t>
        </is>
      </c>
      <c r="B27" s="70" t="n">
        <v>0.5</v>
      </c>
      <c r="C27" s="70" t="n">
        <v>0.6</v>
      </c>
      <c r="D27" s="70" t="n">
        <v>0.7</v>
      </c>
      <c r="E27" s="70" t="n">
        <v>0.8</v>
      </c>
      <c r="F27" s="70" t="n">
        <v>0.9</v>
      </c>
      <c r="G27" s="55" t="n"/>
      <c r="H27" s="55" t="n"/>
    </row>
    <row r="28">
      <c r="A28" s="64" t="n">
        <v>0</v>
      </c>
      <c r="B28" s="67">
        <f>Model!$C$7/(1-B$27)*(10-SUMPRODUCT(POWER(B$27,INT((ROW(INDIRECT("1:10"))-1)/Model!$C$12)+1)))/(Model!$C$8*(1+$A28*Model!$C$9))</f>
        <v/>
      </c>
      <c r="C28" s="67">
        <f>Model!$C$7/(1-C$27)*(10-SUMPRODUCT(POWER(C$27,INT((ROW(INDIRECT("1:10"))-1)/Model!$C$12)+1)))/(Model!$C$8*(1+$A28*Model!$C$9))</f>
        <v/>
      </c>
      <c r="D28" s="67">
        <f>Model!$C$7/(1-D$27)*(10-SUMPRODUCT(POWER(D$27,INT((ROW(INDIRECT("1:10"))-1)/Model!$C$12)+1)))/(Model!$C$8*(1+$A28*Model!$C$9))</f>
        <v/>
      </c>
      <c r="E28" s="67">
        <f>Model!$C$7/(1-E$27)*(10-SUMPRODUCT(POWER(E$27,INT((ROW(INDIRECT("1:10"))-1)/Model!$C$12)+1)))/(Model!$C$8*(1+$A28*Model!$C$9))</f>
        <v/>
      </c>
      <c r="F28" s="67">
        <f>Model!$C$7/(1-F$27)*(10-SUMPRODUCT(POWER(F$27,INT((ROW(INDIRECT("1:10"))-1)/Model!$C$12)+1)))/(Model!$C$8*(1+$A28*Model!$C$9))</f>
        <v/>
      </c>
      <c r="G28" s="55" t="n"/>
      <c r="H28" s="55" t="n"/>
    </row>
    <row r="29">
      <c r="A29" s="64" t="n">
        <v>0.25</v>
      </c>
      <c r="B29" s="67">
        <f>Model!$C$7/(1-B$27)*(10-SUMPRODUCT(POWER(B$27,INT((ROW(INDIRECT("1:10"))-1)/Model!$C$12)+1)))/(Model!$C$8*(1+$A29*Model!$C$9))</f>
        <v/>
      </c>
      <c r="C29" s="67">
        <f>Model!$C$7/(1-C$27)*(10-SUMPRODUCT(POWER(C$27,INT((ROW(INDIRECT("1:10"))-1)/Model!$C$12)+1)))/(Model!$C$8*(1+$A29*Model!$C$9))</f>
        <v/>
      </c>
      <c r="D29" s="67">
        <f>Model!$C$7/(1-D$27)*(10-SUMPRODUCT(POWER(D$27,INT((ROW(INDIRECT("1:10"))-1)/Model!$C$12)+1)))/(Model!$C$8*(1+$A29*Model!$C$9))</f>
        <v/>
      </c>
      <c r="E29" s="67">
        <f>Model!$C$7/(1-E$27)*(10-SUMPRODUCT(POWER(E$27,INT((ROW(INDIRECT("1:10"))-1)/Model!$C$12)+1)))/(Model!$C$8*(1+$A29*Model!$C$9))</f>
        <v/>
      </c>
      <c r="F29" s="67">
        <f>Model!$C$7/(1-F$27)*(10-SUMPRODUCT(POWER(F$27,INT((ROW(INDIRECT("1:10"))-1)/Model!$C$12)+1)))/(Model!$C$8*(1+$A29*Model!$C$9))</f>
        <v/>
      </c>
      <c r="G29" s="55" t="n"/>
      <c r="H29" s="55" t="n"/>
    </row>
    <row r="30">
      <c r="A30" s="64" t="n">
        <v>0.5</v>
      </c>
      <c r="B30" s="67">
        <f>Model!$C$7/(1-B$27)*(10-SUMPRODUCT(POWER(B$27,INT((ROW(INDIRECT("1:10"))-1)/Model!$C$12)+1)))/(Model!$C$8*(1+$A30*Model!$C$9))</f>
        <v/>
      </c>
      <c r="C30" s="67">
        <f>Model!$C$7/(1-C$27)*(10-SUMPRODUCT(POWER(C$27,INT((ROW(INDIRECT("1:10"))-1)/Model!$C$12)+1)))/(Model!$C$8*(1+$A30*Model!$C$9))</f>
        <v/>
      </c>
      <c r="D30" s="67">
        <f>Model!$C$7/(1-D$27)*(10-SUMPRODUCT(POWER(D$27,INT((ROW(INDIRECT("1:10"))-1)/Model!$C$12)+1)))/(Model!$C$8*(1+$A30*Model!$C$9))</f>
        <v/>
      </c>
      <c r="E30" s="67">
        <f>Model!$C$7/(1-E$27)*(10-SUMPRODUCT(POWER(E$27,INT((ROW(INDIRECT("1:10"))-1)/Model!$C$12)+1)))/(Model!$C$8*(1+$A30*Model!$C$9))</f>
        <v/>
      </c>
      <c r="F30" s="67">
        <f>Model!$C$7/(1-F$27)*(10-SUMPRODUCT(POWER(F$27,INT((ROW(INDIRECT("1:10"))-1)/Model!$C$12)+1)))/(Model!$C$8*(1+$A30*Model!$C$9))</f>
        <v/>
      </c>
      <c r="G30" s="55" t="n"/>
      <c r="H30" s="55" t="n"/>
    </row>
    <row r="31">
      <c r="A31" s="64" t="n">
        <v>0.75</v>
      </c>
      <c r="B31" s="67">
        <f>Model!$C$7/(1-B$27)*(10-SUMPRODUCT(POWER(B$27,INT((ROW(INDIRECT("1:10"))-1)/Model!$C$12)+1)))/(Model!$C$8*(1+$A31*Model!$C$9))</f>
        <v/>
      </c>
      <c r="C31" s="67">
        <f>Model!$C$7/(1-C$27)*(10-SUMPRODUCT(POWER(C$27,INT((ROW(INDIRECT("1:10"))-1)/Model!$C$12)+1)))/(Model!$C$8*(1+$A31*Model!$C$9))</f>
        <v/>
      </c>
      <c r="D31" s="67">
        <f>Model!$C$7/(1-D$27)*(10-SUMPRODUCT(POWER(D$27,INT((ROW(INDIRECT("1:10"))-1)/Model!$C$12)+1)))/(Model!$C$8*(1+$A31*Model!$C$9))</f>
        <v/>
      </c>
      <c r="E31" s="67">
        <f>Model!$C$7/(1-E$27)*(10-SUMPRODUCT(POWER(E$27,INT((ROW(INDIRECT("1:10"))-1)/Model!$C$12)+1)))/(Model!$C$8*(1+$A31*Model!$C$9))</f>
        <v/>
      </c>
      <c r="F31" s="67">
        <f>Model!$C$7/(1-F$27)*(10-SUMPRODUCT(POWER(F$27,INT((ROW(INDIRECT("1:10"))-1)/Model!$C$12)+1)))/(Model!$C$8*(1+$A31*Model!$C$9))</f>
        <v/>
      </c>
      <c r="G31" s="55" t="n"/>
      <c r="H31" s="55" t="n"/>
    </row>
    <row r="32">
      <c r="A32" s="64" t="n">
        <v>1</v>
      </c>
      <c r="B32" s="67">
        <f>Model!$C$7/(1-B$27)*(10-SUMPRODUCT(POWER(B$27,INT((ROW(INDIRECT("1:10"))-1)/Model!$C$12)+1)))/(Model!$C$8*(1+$A32*Model!$C$9))</f>
        <v/>
      </c>
      <c r="C32" s="67">
        <f>Model!$C$7/(1-C$27)*(10-SUMPRODUCT(POWER(C$27,INT((ROW(INDIRECT("1:10"))-1)/Model!$C$12)+1)))/(Model!$C$8*(1+$A32*Model!$C$9))</f>
        <v/>
      </c>
      <c r="D32" s="67">
        <f>Model!$C$7/(1-D$27)*(10-SUMPRODUCT(POWER(D$27,INT((ROW(INDIRECT("1:10"))-1)/Model!$C$12)+1)))/(Model!$C$8*(1+$A32*Model!$C$9))</f>
        <v/>
      </c>
      <c r="E32" s="67">
        <f>Model!$C$7/(1-E$27)*(10-SUMPRODUCT(POWER(E$27,INT((ROW(INDIRECT("1:10"))-1)/Model!$C$12)+1)))/(Model!$C$8*(1+$A32*Model!$C$9))</f>
        <v/>
      </c>
      <c r="F32" s="67">
        <f>Model!$C$7/(1-F$27)*(10-SUMPRODUCT(POWER(F$27,INT((ROW(INDIRECT("1:10"))-1)/Model!$C$12)+1)))/(Model!$C$8*(1+$A32*Model!$C$9))</f>
        <v/>
      </c>
      <c r="G32" s="55" t="n"/>
      <c r="H32" s="55" t="n"/>
    </row>
    <row r="33" ht="40.05" customHeight="1" s="29">
      <c r="A33" s="55" t="n"/>
      <c r="B33" s="55" t="n"/>
      <c r="C33" s="55" t="n"/>
      <c r="D33" s="55" t="n"/>
      <c r="E33" s="55" t="n"/>
      <c r="F33" s="55" t="n"/>
      <c r="G33" s="55" t="n"/>
      <c r="H33" s="55" t="n"/>
    </row>
    <row r="34" ht="28" customHeight="1" s="29">
      <c r="A34" s="56" t="inlineStr">
        <is>
          <t>Compare every cell to the live do-nothing baseline in B4. HB 1336 falls below do-nothing only where bundling and recovery are simultaneously pessimistic (upper-right corner of the matrix).</t>
        </is>
      </c>
      <c r="H34" s="55" t="n"/>
    </row>
    <row r="35">
      <c r="A35" s="55" t="n"/>
      <c r="B35" s="55" t="n"/>
      <c r="C35" s="55" t="n"/>
      <c r="D35" s="55" t="n"/>
      <c r="E35" s="55" t="n"/>
      <c r="F35" s="55" t="n"/>
      <c r="G35" s="55" t="n"/>
      <c r="H35" s="55" t="n"/>
    </row>
    <row r="36" ht="32" customHeight="1" s="29">
      <c r="A36" s="68" t="inlineStr">
        <is>
          <t>Table 4 — Headline rebuttal: "we can only help half as many people"  (true do-nothing comparison)</t>
        </is>
      </c>
      <c r="H36" s="55" t="n"/>
    </row>
    <row r="37" ht="48" customHeight="1" s="29">
      <c r="A37" s="56" t="inlineStr">
        <is>
          <t>The objection compares two things that are not the alternatives the legislature actually chooses between. The real choice is between current law (no RCD, deposit-only grants) and HB 1336 (RCD permitted, both deposit + RCD refundable to third-party payor under §540-A:7, I(b) and recycled). All HB 1336 figures use the model's current L (Model!C12). r values are explicit per row.</t>
        </is>
      </c>
      <c r="H37" s="55" t="n"/>
    </row>
    <row r="38" ht="28.5" customHeight="1" s="29">
      <c r="A38" s="55" t="n"/>
      <c r="B38" s="55" t="n"/>
      <c r="C38" s="55" t="n"/>
      <c r="D38" s="55" t="n"/>
      <c r="E38" s="55" t="n"/>
      <c r="F38" s="55" t="n"/>
      <c r="G38" s="55" t="n"/>
      <c r="H38" s="55" t="n"/>
    </row>
    <row r="39" ht="28.5" customHeight="1" s="29">
      <c r="A39" s="71" t="inlineStr">
        <is>
          <t>Scenario</t>
        </is>
      </c>
      <c r="B39" s="71" t="inlineStr">
        <is>
          <t>Households / 10 yrs</t>
        </is>
      </c>
      <c r="C39" s="71" t="inlineStr">
        <is>
          <t>vs. do-nothing</t>
        </is>
      </c>
      <c r="D39" s="71" t="inlineStr">
        <is>
          <t>% vs. do-nothing</t>
        </is>
      </c>
      <c r="E39" s="55" t="n"/>
      <c r="F39" s="55" t="n"/>
      <c r="G39" s="55" t="n"/>
      <c r="H39" s="55" t="n"/>
    </row>
    <row r="40">
      <c r="A40" s="72" t="inlineStr">
        <is>
          <t>DO NOTHING (baseline) — grant, deposit-only at current deposit size</t>
        </is>
      </c>
      <c r="B40" s="73">
        <f>Model!$C$7*10/Model!$C$8</f>
        <v/>
      </c>
      <c r="C40" s="74" t="inlineStr">
        <is>
          <t>baseline</t>
        </is>
      </c>
      <c r="D40" s="75" t="inlineStr">
        <is>
          <t>—</t>
        </is>
      </c>
      <c r="E40" s="55" t="n"/>
      <c r="F40" s="55" t="n"/>
      <c r="G40" s="55" t="n"/>
      <c r="H40" s="55" t="n"/>
    </row>
    <row r="41" ht="28.5" customHeight="1" s="29">
      <c r="A41" s="72" t="inlineStr">
        <is>
          <t>HB 1336 at the model's current bundle and current r  ←  live v2.2 defaults</t>
        </is>
      </c>
      <c r="B41" s="73">
        <f>Model!$C$7/(1-Model!$C$22)*(10-SUMPRODUCT(POWER(Model!$C$22,INT((ROW(INDIRECT("1:10"))-1)/Model!$C$12)+1)))/Model!$C$11</f>
        <v/>
      </c>
      <c r="C41" s="76">
        <f>B41-$B$4</f>
        <v/>
      </c>
      <c r="D41" s="77">
        <f>B41/$B$4-1</f>
        <v/>
      </c>
      <c r="E41" s="55" t="n"/>
      <c r="F41" s="55" t="n"/>
      <c r="G41" s="55" t="n"/>
      <c r="H41" s="55" t="n"/>
    </row>
    <row r="42" ht="28.5" customHeight="1" s="29">
      <c r="A42" s="78" t="inlineStr">
        <is>
          <t>HB 1336 at current r, 50% bundle</t>
        </is>
      </c>
      <c r="B42" s="67">
        <f>Model!$C$7/(1-Model!$C$22)*(10-SUMPRODUCT(POWER(Model!$C$22,INT((ROW(INDIRECT("1:10"))-1)/Model!$C$12)+1)))/(Model!$C$8*(1+0.5*Model!$C$9))</f>
        <v/>
      </c>
      <c r="C42" s="76">
        <f>B42-$B$4</f>
        <v/>
      </c>
      <c r="D42" s="77">
        <f>B42/$B$4-1</f>
        <v/>
      </c>
      <c r="E42" s="55" t="n"/>
      <c r="F42" s="55" t="n"/>
      <c r="G42" s="55" t="n"/>
      <c r="H42" s="55" t="n"/>
    </row>
    <row r="43" ht="28.5" customHeight="1" s="29">
      <c r="A43" s="78" t="inlineStr">
        <is>
          <t>HB 1336 at current r, 100% bundle (worst-case bundling)</t>
        </is>
      </c>
      <c r="B43" s="67">
        <f>Model!$C$7/(1-Model!$C$22)*(10-SUMPRODUCT(POWER(Model!$C$22,INT((ROW(INDIRECT("1:10"))-1)/Model!$C$12)+1)))/(Model!$C$8*(1+1.0*Model!$C$9))</f>
        <v/>
      </c>
      <c r="C43" s="76">
        <f>B43-$B$4</f>
        <v/>
      </c>
      <c r="D43" s="77">
        <f>B43/$B$4-1</f>
        <v/>
      </c>
      <c r="E43" s="55" t="n"/>
      <c r="F43" s="55" t="n"/>
      <c r="G43" s="55" t="n"/>
      <c r="H43" s="55" t="n"/>
    </row>
    <row r="44">
      <c r="A44" s="78" t="inlineStr">
        <is>
          <t>HB 1336 at 70% r, 100% bundle (very conservative)</t>
        </is>
      </c>
      <c r="B44" s="67">
        <f>Model!$C$7/(1-0.7)*(10-SUMPRODUCT(POWER(0.7,INT((ROW(INDIRECT("1:10"))-1)/Model!$C$12)+1)))/(Model!$C$8*(1+1.0*Model!$C$9))</f>
        <v/>
      </c>
      <c r="C44" s="76">
        <f>B44-$B$4</f>
        <v/>
      </c>
      <c r="D44" s="77">
        <f>B44/$B$4-1</f>
        <v/>
      </c>
      <c r="E44" s="55" t="n"/>
      <c r="F44" s="55" t="n"/>
      <c r="G44" s="55" t="n"/>
      <c r="H44" s="55" t="n"/>
    </row>
    <row r="45">
      <c r="A45" s="78" t="inlineStr">
        <is>
          <t>HB 1336 at 50% r, 50% bundle (deep stress test)</t>
        </is>
      </c>
      <c r="B45" s="67">
        <f>Model!$C$7/(1-0.5)*(10-SUMPRODUCT(POWER(0.5,INT((ROW(INDIRECT("1:10"))-1)/Model!$C$12)+1)))/(Model!$C$8*(1+0.5*Model!$C$9))</f>
        <v/>
      </c>
      <c r="C45" s="76">
        <f>B45-$B$4</f>
        <v/>
      </c>
      <c r="D45" s="77">
        <f>B45/$B$4-1</f>
        <v/>
      </c>
      <c r="E45" s="55" t="n"/>
      <c r="F45" s="55" t="n"/>
      <c r="G45" s="55" t="n"/>
      <c r="H45" s="55" t="n"/>
    </row>
    <row r="46" ht="75" customHeight="1" s="29">
      <c r="A46" s="55" t="n"/>
      <c r="B46" s="55" t="n"/>
      <c r="C46" s="55" t="n"/>
      <c r="D46" s="55" t="n"/>
      <c r="E46" s="55" t="n"/>
      <c r="F46" s="55" t="n"/>
      <c r="G46" s="55" t="n"/>
      <c r="H46" s="55" t="n"/>
    </row>
    <row r="47">
      <c r="A47" s="57" t="inlineStr">
        <is>
          <t>Bottom line:</t>
        </is>
      </c>
      <c r="B47" s="55" t="n"/>
      <c r="C47" s="55" t="n"/>
      <c r="D47" s="55" t="n"/>
      <c r="E47" s="55" t="n"/>
      <c r="F47" s="55" t="n"/>
      <c r="G47" s="55" t="n"/>
      <c r="H47" s="55" t="n"/>
    </row>
    <row r="48" ht="65" customHeight="1" s="29">
      <c r="A48" s="79" t="inlineStr">
        <is>
          <t>At current assumptions the HB 1336 program with bundling outserves the do-nothing baseline by a wide margin. It only falls below the do-nothing baseline when both bundling and recovery are simultaneously pessimistic — a corner case that is neither the central case nor consistent with the TransUnion data. The recycling effect made possible by §540-A:7, I(b) is what flips the bundling penalty from a cost into a net gain.</t>
        </is>
      </c>
      <c r="H48" s="55" t="n"/>
    </row>
    <row r="49">
      <c r="A49" s="55" t="n"/>
      <c r="B49" s="55" t="n"/>
      <c r="C49" s="55" t="n"/>
      <c r="D49" s="55" t="n"/>
      <c r="E49" s="55" t="n"/>
      <c r="F49" s="55" t="n"/>
      <c r="G49" s="55" t="n"/>
      <c r="H49" s="55" t="n"/>
    </row>
    <row r="50">
      <c r="A50" s="55" t="n"/>
      <c r="B50" s="55" t="n"/>
      <c r="C50" s="55" t="n"/>
      <c r="D50" s="55" t="n"/>
      <c r="E50" s="55" t="n"/>
      <c r="F50" s="55" t="n"/>
      <c r="G50" s="55" t="n"/>
      <c r="H50" s="55" t="n"/>
    </row>
    <row r="51">
      <c r="A51" s="55" t="n"/>
      <c r="B51" s="55" t="n"/>
      <c r="C51" s="55" t="n"/>
      <c r="D51" s="55" t="n"/>
      <c r="E51" s="55" t="n"/>
      <c r="F51" s="55" t="n"/>
      <c r="G51" s="55" t="n"/>
      <c r="H51" s="55" t="n"/>
    </row>
    <row r="52">
      <c r="A52" s="55" t="n"/>
      <c r="B52" s="55" t="n"/>
      <c r="C52" s="55" t="n"/>
      <c r="D52" s="55" t="n"/>
      <c r="E52" s="55" t="n"/>
      <c r="F52" s="55" t="n"/>
      <c r="G52" s="55" t="n"/>
      <c r="H52" s="55" t="n"/>
    </row>
    <row r="53">
      <c r="A53" s="55" t="n"/>
      <c r="B53" s="55" t="n"/>
      <c r="C53" s="55" t="n"/>
      <c r="D53" s="55" t="n"/>
      <c r="E53" s="55" t="n"/>
      <c r="F53" s="55" t="n"/>
      <c r="G53" s="55" t="n"/>
      <c r="H53" s="55" t="n"/>
    </row>
    <row r="54">
      <c r="A54" s="55" t="n"/>
      <c r="B54" s="55" t="n"/>
      <c r="C54" s="55" t="n"/>
      <c r="D54" s="55" t="n"/>
      <c r="E54" s="55" t="n"/>
      <c r="F54" s="55" t="n"/>
      <c r="G54" s="55" t="n"/>
      <c r="H54" s="55" t="n"/>
    </row>
    <row r="55">
      <c r="A55" s="55" t="n"/>
      <c r="B55" s="55" t="n"/>
      <c r="C55" s="55" t="n"/>
      <c r="D55" s="55" t="n"/>
      <c r="E55" s="55" t="n"/>
      <c r="F55" s="55" t="n"/>
      <c r="G55" s="55" t="n"/>
      <c r="H55" s="55" t="n"/>
    </row>
    <row r="56">
      <c r="A56" s="55" t="n"/>
      <c r="B56" s="55" t="n"/>
      <c r="C56" s="55" t="n"/>
      <c r="D56" s="55" t="n"/>
      <c r="E56" s="55" t="n"/>
      <c r="F56" s="55" t="n"/>
      <c r="G56" s="55" t="n"/>
      <c r="H56" s="55" t="n"/>
    </row>
    <row r="57">
      <c r="A57" s="55" t="n"/>
      <c r="B57" s="55" t="n"/>
      <c r="C57" s="55" t="n"/>
      <c r="D57" s="55" t="n"/>
      <c r="E57" s="55" t="n"/>
      <c r="F57" s="55" t="n"/>
      <c r="G57" s="55" t="n"/>
      <c r="H57" s="55" t="n"/>
    </row>
    <row r="58">
      <c r="A58" s="55" t="n"/>
      <c r="B58" s="55" t="n"/>
      <c r="C58" s="55" t="n"/>
      <c r="D58" s="55" t="n"/>
      <c r="E58" s="55" t="n"/>
      <c r="F58" s="55" t="n"/>
      <c r="G58" s="55" t="n"/>
      <c r="H58" s="55" t="n"/>
    </row>
    <row r="59">
      <c r="A59" s="55" t="n"/>
      <c r="B59" s="55" t="n"/>
      <c r="C59" s="55" t="n"/>
      <c r="D59" s="55" t="n"/>
      <c r="E59" s="55" t="n"/>
      <c r="F59" s="55" t="n"/>
      <c r="G59" s="55" t="n"/>
      <c r="H59" s="55" t="n"/>
    </row>
    <row r="60">
      <c r="A60" s="55" t="n"/>
      <c r="B60" s="55" t="n"/>
      <c r="C60" s="55" t="n"/>
      <c r="D60" s="55" t="n"/>
      <c r="E60" s="55" t="n"/>
      <c r="F60" s="55" t="n"/>
      <c r="G60" s="55" t="n"/>
      <c r="H60" s="55" t="n"/>
    </row>
  </sheetData>
  <mergeCells count="13">
    <mergeCell ref="A13:G13"/>
    <mergeCell ref="A36:G36"/>
    <mergeCell ref="A1:G1"/>
    <mergeCell ref="A3:G3"/>
    <mergeCell ref="A15:E15"/>
    <mergeCell ref="A22:G22"/>
    <mergeCell ref="A34:G34"/>
    <mergeCell ref="A48:G48"/>
    <mergeCell ref="A24:G24"/>
    <mergeCell ref="A2:G2"/>
    <mergeCell ref="A25:G25"/>
    <mergeCell ref="A6:E6"/>
    <mergeCell ref="A37:G37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0"/>
  <sheetViews>
    <sheetView showGridLines="0" zoomScaleNormal="100" workbookViewId="0">
      <selection activeCell="A1" sqref="A1"/>
    </sheetView>
  </sheetViews>
  <sheetFormatPr baseColWidth="8" defaultColWidth="8.6640625" defaultRowHeight="14.25"/>
  <cols>
    <col width="130" customWidth="1" style="29" min="1" max="1"/>
  </cols>
  <sheetData>
    <row r="1" ht="17.65" customHeight="1" s="29">
      <c r="A1" s="54" t="inlineStr">
        <is>
          <t>Notes &amp; Method  —  v2.3 (June 2026, dynamic sensitivity tables)</t>
        </is>
      </c>
      <c r="B1" s="55" t="n"/>
    </row>
    <row r="2">
      <c r="A2" s="55" t="n"/>
      <c r="B2" s="55" t="n"/>
    </row>
    <row r="3">
      <c r="A3" s="68" t="inlineStr">
        <is>
          <t>WHAT THIS MODEL MEASURES</t>
        </is>
      </c>
      <c r="B3" s="55" t="n"/>
    </row>
    <row r="4">
      <c r="A4" s="78" t="inlineStr">
        <is>
          <t>Incremental impact of HB 1336 on what private charitable capital can do for security-deposit assistance.</t>
        </is>
      </c>
      <c r="B4" s="55" t="n"/>
    </row>
    <row r="5">
      <c r="A5" s="78" t="inlineStr">
        <is>
          <t>It compares two worlds, not two charity designs:</t>
        </is>
      </c>
      <c r="B5" s="55" t="n"/>
    </row>
    <row r="6">
      <c r="A6" s="78" t="inlineStr">
        <is>
          <t xml:space="preserve">   Do nothing  →  current law.  RCDs do not exist; charity funds standard deposits as one-way grants at the deposit size set in Model!C8.</t>
        </is>
      </c>
      <c r="B6" s="55" t="n"/>
    </row>
    <row r="7">
      <c r="A7" s="78" t="inlineStr">
        <is>
          <t xml:space="preserve">   HB 1336 passes  →  charity funds deposit + RCD where needed.  Both flow back to the third-party payor under §540-A:7, I(b)</t>
        </is>
      </c>
      <c r="B7" s="55" t="n"/>
    </row>
    <row r="8">
      <c r="A8" s="78" t="inlineStr">
        <is>
          <t xml:space="preserve">                    and are recycled into the next household.  Capital per assisted hh = deposit × (1 + bundle% × RCD multiple).</t>
        </is>
      </c>
      <c r="B8" s="55" t="n"/>
    </row>
    <row r="9">
      <c r="A9" s="55" t="n"/>
      <c r="B9" s="55" t="n"/>
    </row>
    <row r="10">
      <c r="A10" s="68" t="inlineStr">
        <is>
          <t>METHOD (annual model)</t>
        </is>
      </c>
      <c r="B10" s="55" t="n"/>
    </row>
    <row r="11">
      <c r="A11" s="78" t="inlineStr">
        <is>
          <t>HB 1336 (revolving):  capital(t) = net donations + recycle_factor × r × capital(t − L)</t>
        </is>
      </c>
      <c r="B11" s="55" t="n"/>
    </row>
    <row r="12">
      <c r="A12" s="78" t="inlineStr">
        <is>
          <t>Do nothing (grant):   capital(t) = net donations every year.  Refund flows to tenant; nothing returns to fund.  Recovery rate is 0% by definition.</t>
        </is>
      </c>
      <c r="B12" s="55" t="n"/>
    </row>
    <row r="13">
      <c r="A13" s="78" t="inlineStr">
        <is>
          <t>Households(t) under HB 1336 = capital(t) ÷ [deposit × (1 + bundle% × RCD multiple)]</t>
        </is>
      </c>
      <c r="B13" s="55" t="n"/>
    </row>
    <row r="14">
      <c r="A14" s="78" t="inlineStr">
        <is>
          <t>Households(t) under do nothing = capital(t) ÷ deposit  (NO RCD term — RCDs do not exist in this world; no recycling)</t>
        </is>
      </c>
      <c r="B14" s="55" t="n"/>
    </row>
    <row r="15">
      <c r="A15" s="78" t="inlineStr">
        <is>
          <t>Effective r (HB 1336 only) = IF(method = "Manual override", manual r, MAX(0, 1 − weighted eviction × LGE − base non-recovery))</t>
        </is>
      </c>
      <c r="B15" s="55" t="n"/>
    </row>
    <row r="16">
      <c r="A16" s="78" t="inlineStr">
        <is>
          <t>Weighted eviction = SUMPRODUCT(tier eviction rates, population mix)</t>
        </is>
      </c>
      <c r="B16" s="55" t="n"/>
    </row>
    <row r="17">
      <c r="A17" s="55" t="n"/>
      <c r="B17" s="55" t="n"/>
    </row>
    <row r="18">
      <c r="A18" s="68" t="inlineStr">
        <is>
          <t>WHAT CHANGED FROM v2.2 → v2.3</t>
        </is>
      </c>
      <c r="B18" s="55" t="n"/>
    </row>
    <row r="19">
      <c r="A19" s="78" t="inlineStr">
        <is>
          <t>1. Sensitivity tables are now DYNAMIC.  Every cell in Sensitivity uses a closed-form Excel formula that references the live</t>
        </is>
      </c>
      <c r="B19" s="55" t="n"/>
    </row>
    <row r="20">
      <c r="A20" s="78" t="inlineStr">
        <is>
          <t xml:space="preserve">   Model inputs (net donations, deposit, RCD multiple, bundle, recovery rate, tenancy).  Change any input on the Model sheet</t>
        </is>
      </c>
      <c r="B20" s="55" t="n"/>
    </row>
    <row r="21">
      <c r="A21" s="78" t="inlineStr">
        <is>
          <t xml:space="preserve">   and every Sensitivity number updates immediately.  Hard-coded scenario numbers are gone.</t>
        </is>
      </c>
      <c r="B21" s="55" t="n"/>
    </row>
    <row r="22">
      <c r="A22" s="78" t="inlineStr">
        <is>
          <t>2. Do-nothing baseline is now shown explicitly as a live cell at Sensitivity!B4 = Model!C7 × 10 ÷ Model!C8.</t>
        </is>
      </c>
      <c r="B22" s="55" t="n"/>
    </row>
    <row r="23">
      <c r="A23" s="78" t="inlineStr">
        <is>
          <t xml:space="preserve">   It is independent of HB 1336's recovery rate r and tenancy L (no recycling possible without §540-A:7, I(b)).</t>
        </is>
      </c>
      <c r="B23" s="55" t="n"/>
    </row>
    <row r="24">
      <c r="A24" s="78" t="inlineStr">
        <is>
          <t>3. Table 4 scenarios reference the live r at Model!C22 by default and only hard-code stress-test r values for explicit comparisons.</t>
        </is>
      </c>
      <c r="B24" s="55" t="n"/>
    </row>
    <row r="25">
      <c r="A25" s="55" t="n"/>
      <c r="B25" s="55" t="n"/>
    </row>
    <row r="26">
      <c r="A26" s="68" t="inlineStr">
        <is>
          <t>CLOSED-FORM FORMULA USED IN SENSITIVITY</t>
        </is>
      </c>
      <c r="B26" s="55" t="n"/>
    </row>
    <row r="27">
      <c r="A27" s="78" t="inlineStr">
        <is>
          <t>Total revolving capital over H years, given r and L:</t>
        </is>
      </c>
      <c r="B27" s="55" t="n"/>
    </row>
    <row r="28">
      <c r="A28" s="78" t="inlineStr">
        <is>
          <t xml:space="preserve">   TotalCap(r, L, H) = NET / (1 − r) × ( H − Σ_{t=1..H} r^( floor((t−1)/L) + 1 ) )</t>
        </is>
      </c>
      <c r="B28" s="55" t="n"/>
    </row>
    <row r="29">
      <c r="A29" s="78" t="inlineStr">
        <is>
          <t>In Excel:  =NET/(1−r)*(H − SUMPRODUCT(POWER(r, INT((ROW(INDIRECT("1:"&amp;H))−1)/L)+1)))</t>
        </is>
      </c>
      <c r="B29" s="55" t="n"/>
    </row>
    <row r="30">
      <c r="A30" s="78" t="inlineStr">
        <is>
          <t>(H is hard-coded at 10 in the Sensitivity sheet to match the model horizon.  If you change the horizon in the year-by-year, update Sensitivity to match.)</t>
        </is>
      </c>
      <c r="B30" s="55" t="n"/>
    </row>
    <row r="31">
      <c r="A31" s="55" t="n"/>
      <c r="B31" s="55" t="n"/>
    </row>
    <row r="32">
      <c r="A32" s="68" t="inlineStr">
        <is>
          <t>CREDIT-TIER ANCHOR  (TransUnion ResidentScore, see v9 Policy Analysis §3)</t>
        </is>
      </c>
      <c r="B32" s="55" t="n"/>
    </row>
    <row r="33">
      <c r="A33" s="78" t="inlineStr">
        <is>
          <t>Tier        Eviction rate    (Default population mix is user-editable on the Model sheet, C26:D30.)</t>
        </is>
      </c>
      <c r="B33" s="55" t="n"/>
    </row>
    <row r="34">
      <c r="A34" s="78" t="inlineStr">
        <is>
          <t>350–449     12.3%</t>
        </is>
      </c>
      <c r="B34" s="55" t="n"/>
    </row>
    <row r="35">
      <c r="A35" s="78" t="inlineStr">
        <is>
          <t>450–499      9.4%</t>
        </is>
      </c>
      <c r="B35" s="55" t="n"/>
    </row>
    <row r="36">
      <c r="A36" s="78" t="inlineStr">
        <is>
          <t>500–549      5.8%</t>
        </is>
      </c>
      <c r="B36" s="55" t="n"/>
    </row>
    <row r="37">
      <c r="A37" s="78" t="inlineStr">
        <is>
          <t>550–649      1.3%</t>
        </is>
      </c>
      <c r="B37" s="55" t="n"/>
    </row>
    <row r="38">
      <c r="A38" s="78" t="inlineStr">
        <is>
          <t>650–749      0.3%</t>
        </is>
      </c>
      <c r="B38" s="55" t="n"/>
    </row>
    <row r="39">
      <c r="A39" s="78" t="inlineStr">
        <is>
          <t>Population mix on the Model sheet drives the weighted eviction rate at Model!C21, which drives the effective r at Model!C22.</t>
        </is>
      </c>
      <c r="B39" s="55" t="n"/>
    </row>
    <row r="40">
      <c r="A40" s="55" t="n"/>
      <c r="B40" s="55" t="n"/>
    </row>
    <row r="41">
      <c r="A41" s="68" t="inlineStr">
        <is>
          <t>KEY VARIABLES</t>
        </is>
      </c>
      <c r="B41" s="55" t="n"/>
    </row>
    <row r="42">
      <c r="A42" s="78" t="inlineStr">
        <is>
          <t>Bundle %     — fraction of HB 1336-assisted households needing BOTH deposit and RCD.  Drives capital-per-hh under HB 1336.</t>
        </is>
      </c>
      <c r="B42" s="55" t="n"/>
    </row>
    <row r="43">
      <c r="A43" s="78" t="inlineStr">
        <is>
          <t xml:space="preserve">               Does NOT affect do-nothing baseline (no RCDs exist to bundle).</t>
        </is>
      </c>
      <c r="B43" s="55" t="n"/>
    </row>
    <row r="44">
      <c r="A44" s="78" t="inlineStr">
        <is>
          <t>L            — average tenancy before refund.  Longer L = slower recycling = MORE conservative.  Only matters for HB 1336.</t>
        </is>
      </c>
      <c r="B44" s="55" t="n"/>
    </row>
    <row r="45">
      <c r="A45" s="78" t="inlineStr">
        <is>
          <t>r            — recovery rate; either tier-weighted (default) or manual override.  Only matters for HB 1336 scenario.</t>
        </is>
      </c>
      <c r="B45" s="55" t="n"/>
    </row>
    <row r="46">
      <c r="A46" s="78" t="inlineStr">
        <is>
          <t xml:space="preserve">               Do-nothing recovery is 0% by definition (the refund goes to the tenant, not back to the fund).</t>
        </is>
      </c>
      <c r="B46" s="55" t="n"/>
    </row>
    <row r="47">
      <c r="A47" s="78" t="inlineStr">
        <is>
          <t>LGE          — loss-given-eviction. 100% assumes the entire held deposit (+ RCD if applicable) is consumed when an eviction is reduced to judgment.</t>
        </is>
      </c>
      <c r="B47" s="55" t="n"/>
    </row>
    <row r="48">
      <c r="A48" s="78" t="inlineStr">
        <is>
          <t>Base non-recovery — average lawful deductions in non-evicted tenancies (wear, cleaning, damages).  Defensible range 5–15%.</t>
        </is>
      </c>
      <c r="B48" s="55" t="n"/>
    </row>
    <row r="49">
      <c r="A49" s="55" t="n"/>
      <c r="B49" s="55" t="n"/>
    </row>
    <row r="50">
      <c r="A50" s="68" t="inlineStr">
        <is>
          <t>WHAT IS INVARIANT</t>
        </is>
      </c>
      <c r="B50" s="55" t="n"/>
    </row>
    <row r="51">
      <c r="A51" s="78" t="inlineStr">
        <is>
          <t>Reach multiplier (HB 1336 ÷ do nothing) = (capital recycling factor) × (1 / (1 + bundle% × RCD multiple)).</t>
        </is>
      </c>
      <c r="B51" s="55" t="n"/>
    </row>
    <row r="52">
      <c r="A52" s="78" t="inlineStr">
        <is>
          <t>It depends on r, L, horizon, recycle-overhead toggle, bundle %, and RCD multiple — but NOT on fund size or deposit size.</t>
        </is>
      </c>
      <c r="B52" s="55" t="n"/>
    </row>
    <row r="53">
      <c r="A53" s="78" t="inlineStr">
        <is>
          <t>Absolute household counts scale linearly with inflow.</t>
        </is>
      </c>
      <c r="B53" s="55" t="n"/>
    </row>
    <row r="54">
      <c r="A54" s="55" t="n"/>
      <c r="B54" s="55" t="n"/>
    </row>
    <row r="55">
      <c r="A55" s="68" t="inlineStr">
        <is>
          <t>REBUTTAL — "we can only help half as many people"</t>
        </is>
      </c>
      <c r="B55" s="55" t="n"/>
    </row>
    <row r="56">
      <c r="A56" s="78" t="inlineStr">
        <is>
          <t>Misframes the alternatives.  The choice is not "fund a deposit only vs. fund deposit + RCD."  The choice is "operate under current</t>
        </is>
      </c>
      <c r="B56" s="55" t="n"/>
    </row>
    <row r="57">
      <c r="A57" s="78" t="inlineStr">
        <is>
          <t>law where the deposit is a grant vs. operate under HB 1336 where deposit + RCD are recoverable to the funder."  Once the deposit</t>
        </is>
      </c>
      <c r="B57" s="55" t="n"/>
    </row>
    <row r="58">
      <c r="A58" s="78" t="inlineStr">
        <is>
          <t>cycle returns to the fund, the recycling effect dominates the bundling penalty over any reasonable horizon.  See Sensitivity</t>
        </is>
      </c>
      <c r="B58" s="55" t="n"/>
    </row>
    <row r="59">
      <c r="A59" s="78" t="inlineStr">
        <is>
          <t>Table 4 for the live comparison under the current assumptions.  The HB 1336 scenario falls below the do-nothing baseline only</t>
        </is>
      </c>
      <c r="B59" s="55" t="n"/>
    </row>
    <row r="60">
      <c r="A60" s="78" t="inlineStr">
        <is>
          <t>where bundling and recovery are simultaneously pessimistic — a corner case neither central nor consistent with the TransUnion data.</t>
        </is>
      </c>
      <c r="B60" s="55" t="n"/>
    </row>
    <row r="61">
      <c r="A61" s="55" t="n"/>
      <c r="B61" s="55" t="n"/>
    </row>
    <row r="62">
      <c r="A62" s="68" t="inlineStr">
        <is>
          <t>TIE TO THE POLICY ANALYSIS</t>
        </is>
      </c>
      <c r="B62" s="55" t="n"/>
    </row>
    <row r="63">
      <c r="A63" s="78" t="inlineStr">
        <is>
          <t>At a $2,000 standard deposit and 30% bundle, average capital per assisted household under HB 1336 = $2,600.</t>
        </is>
      </c>
      <c r="B63" s="55" t="n"/>
    </row>
    <row r="64">
      <c r="A64" s="78" t="inlineStr">
        <is>
          <t>Under do nothing, capital per assisted household = $2,000 (deposit only; RCDs do not exist).</t>
        </is>
      </c>
      <c r="B64" s="55" t="n"/>
    </row>
    <row r="65">
      <c r="A65" s="78" t="inlineStr">
        <is>
          <t>$100,000 funds ≈ 38 HB-1336-assisted households at bundle = 30%, or 50 households under do nothing.</t>
        </is>
      </c>
      <c r="B65" s="55" t="n"/>
    </row>
    <row r="66">
      <c r="A66" s="78" t="inlineStr">
        <is>
          <t>But that single-year arithmetic ignores recycling.  Over a 10-year horizon HB 1336 substantially dominates do nothing.</t>
        </is>
      </c>
      <c r="B66" s="55" t="n"/>
    </row>
    <row r="67">
      <c r="A67" s="55" t="n"/>
      <c r="B67" s="55" t="n"/>
    </row>
    <row r="68">
      <c r="A68" s="68" t="inlineStr">
        <is>
          <t>CAVEAT</t>
        </is>
      </c>
      <c r="B68" s="55" t="n"/>
    </row>
    <row r="69">
      <c r="A69" s="78" t="inlineStr">
        <is>
          <t>Illustrative underwriting model, not a guarantee of outcomes.  Real-world recovery and tenancy vary by program design and population.</t>
        </is>
      </c>
      <c r="B69" s="55" t="n"/>
    </row>
    <row r="70">
      <c r="A70" s="55" t="n"/>
      <c r="B70" s="55" t="n"/>
    </row>
    <row r="71">
      <c r="A71" s="55" t="n"/>
      <c r="B71" s="55" t="n"/>
    </row>
    <row r="72">
      <c r="A72" s="55" t="n"/>
      <c r="B72" s="55" t="n"/>
    </row>
    <row r="73">
      <c r="A73" s="55" t="n"/>
      <c r="B73" s="55" t="n"/>
    </row>
    <row r="74">
      <c r="A74" s="55" t="n"/>
      <c r="B74" s="55" t="n"/>
    </row>
    <row r="75">
      <c r="A75" s="55" t="n"/>
      <c r="B75" s="55" t="n"/>
    </row>
    <row r="76">
      <c r="A76" s="55" t="n"/>
      <c r="B76" s="55" t="n"/>
    </row>
    <row r="77">
      <c r="A77" s="55" t="n"/>
      <c r="B77" s="55" t="n"/>
    </row>
    <row r="78">
      <c r="A78" s="55" t="n"/>
      <c r="B78" s="55" t="n"/>
    </row>
    <row r="79">
      <c r="A79" s="55" t="n"/>
      <c r="B79" s="55" t="n"/>
    </row>
    <row r="80">
      <c r="A80" s="55" t="n"/>
      <c r="B80" s="55" t="n"/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2026-06-09T02:37:05Z</dcterms:created>
  <dcterms:modified xmlns:dcterms="http://purl.org/dc/terms/" xmlns:xsi="http://www.w3.org/2001/XMLSchema-instance" xsi:type="dcterms:W3CDTF">2026-06-09T02:38:36Z</dcterms:modified>
</cp:coreProperties>
</file>